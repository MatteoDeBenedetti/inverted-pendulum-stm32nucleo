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_Helsing\Documents\PERCRO\PCB_STM32F7_v4.0\DOCUMENTS\"/>
    </mc:Choice>
  </mc:AlternateContent>
  <bookViews>
    <workbookView xWindow="0" yWindow="0" windowWidth="40956" windowHeight="25596" activeTab="3"/>
  </bookViews>
  <sheets>
    <sheet name="Arduino-Comp" sheetId="1" r:id="rId1"/>
    <sheet name="MOTORE_PINS" sheetId="4" r:id="rId2"/>
    <sheet name="Nucleo_Pins_Altium" sheetId="3" r:id="rId3"/>
    <sheet name="GraPHICAL DISPLAY" sheetId="5" r:id="rId4"/>
  </sheets>
  <definedNames>
    <definedName name="_xlnm._FilterDatabase" localSheetId="2" hidden="1">Nucleo_Pins_Altium!$C$1:$L$144</definedName>
    <definedName name="BOARD_CUBEv2" localSheetId="1">MOTORE_PINS!$A$1:$D$138</definedName>
    <definedName name="CN11Odd">'GraPHICAL DISPLAY'!$I$2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78" i="5" l="1"/>
  <c r="T78" i="5"/>
  <c r="S78" i="5"/>
  <c r="U77" i="5"/>
  <c r="T77" i="5"/>
  <c r="S77" i="5"/>
  <c r="U76" i="5"/>
  <c r="T76" i="5"/>
  <c r="S76" i="5"/>
  <c r="U75" i="5"/>
  <c r="T75" i="5"/>
  <c r="S75" i="5"/>
  <c r="U74" i="5"/>
  <c r="T74" i="5"/>
  <c r="S74" i="5"/>
  <c r="U73" i="5"/>
  <c r="T73" i="5"/>
  <c r="S73" i="5"/>
  <c r="U72" i="5"/>
  <c r="T72" i="5"/>
  <c r="S72" i="5"/>
  <c r="U71" i="5"/>
  <c r="T71" i="5"/>
  <c r="S71" i="5"/>
  <c r="U70" i="5"/>
  <c r="T70" i="5"/>
  <c r="S70" i="5"/>
  <c r="U69" i="5"/>
  <c r="T69" i="5"/>
  <c r="S69" i="5"/>
  <c r="U68" i="5"/>
  <c r="T68" i="5"/>
  <c r="S68" i="5"/>
  <c r="U67" i="5"/>
  <c r="T67" i="5"/>
  <c r="S67" i="5"/>
  <c r="U66" i="5"/>
  <c r="T66" i="5"/>
  <c r="S66" i="5"/>
  <c r="U65" i="5"/>
  <c r="T65" i="5"/>
  <c r="S65" i="5"/>
  <c r="U64" i="5"/>
  <c r="T64" i="5"/>
  <c r="S64" i="5"/>
  <c r="U63" i="5"/>
  <c r="T63" i="5"/>
  <c r="S63" i="5"/>
  <c r="U62" i="5"/>
  <c r="T62" i="5"/>
  <c r="S62" i="5"/>
  <c r="P78" i="5"/>
  <c r="O78" i="5"/>
  <c r="N78" i="5"/>
  <c r="P77" i="5"/>
  <c r="O77" i="5"/>
  <c r="N77" i="5"/>
  <c r="P76" i="5"/>
  <c r="O76" i="5"/>
  <c r="N76" i="5"/>
  <c r="P75" i="5"/>
  <c r="O75" i="5"/>
  <c r="N75" i="5"/>
  <c r="P74" i="5"/>
  <c r="O74" i="5"/>
  <c r="N74" i="5"/>
  <c r="P73" i="5"/>
  <c r="O73" i="5"/>
  <c r="N73" i="5"/>
  <c r="P72" i="5"/>
  <c r="O72" i="5"/>
  <c r="N72" i="5"/>
  <c r="P71" i="5"/>
  <c r="O71" i="5"/>
  <c r="N71" i="5"/>
  <c r="P70" i="5"/>
  <c r="O70" i="5"/>
  <c r="N70" i="5"/>
  <c r="P69" i="5"/>
  <c r="O69" i="5"/>
  <c r="N69" i="5"/>
  <c r="P68" i="5"/>
  <c r="O68" i="5"/>
  <c r="N68" i="5"/>
  <c r="P67" i="5"/>
  <c r="O67" i="5"/>
  <c r="N67" i="5"/>
  <c r="P66" i="5"/>
  <c r="O66" i="5"/>
  <c r="N66" i="5"/>
  <c r="P65" i="5"/>
  <c r="O65" i="5"/>
  <c r="N65" i="5"/>
  <c r="P64" i="5"/>
  <c r="O64" i="5"/>
  <c r="N64" i="5"/>
  <c r="P63" i="5"/>
  <c r="O63" i="5"/>
  <c r="N63" i="5"/>
  <c r="P62" i="5"/>
  <c r="O62" i="5"/>
  <c r="N62" i="5"/>
  <c r="J78" i="5"/>
  <c r="I78" i="5"/>
  <c r="H78" i="5"/>
  <c r="J77" i="5"/>
  <c r="I77" i="5"/>
  <c r="H77" i="5"/>
  <c r="J76" i="5"/>
  <c r="I76" i="5"/>
  <c r="H76" i="5"/>
  <c r="J75" i="5"/>
  <c r="I75" i="5"/>
  <c r="H75" i="5"/>
  <c r="J74" i="5"/>
  <c r="I74" i="5"/>
  <c r="H74" i="5"/>
  <c r="J73" i="5"/>
  <c r="I73" i="5"/>
  <c r="H73" i="5"/>
  <c r="J72" i="5"/>
  <c r="I72" i="5"/>
  <c r="H72" i="5"/>
  <c r="J71" i="5"/>
  <c r="I71" i="5"/>
  <c r="H71" i="5"/>
  <c r="J70" i="5"/>
  <c r="I70" i="5"/>
  <c r="H70" i="5"/>
  <c r="J69" i="5"/>
  <c r="I69" i="5"/>
  <c r="H69" i="5"/>
  <c r="J68" i="5"/>
  <c r="I68" i="5"/>
  <c r="H68" i="5"/>
  <c r="J67" i="5"/>
  <c r="I67" i="5"/>
  <c r="H67" i="5"/>
  <c r="J66" i="5"/>
  <c r="I66" i="5"/>
  <c r="H66" i="5"/>
  <c r="J65" i="5"/>
  <c r="I65" i="5"/>
  <c r="H65" i="5"/>
  <c r="J64" i="5"/>
  <c r="I64" i="5"/>
  <c r="H64" i="5"/>
  <c r="E78" i="5"/>
  <c r="D78" i="5"/>
  <c r="C78" i="5"/>
  <c r="E77" i="5"/>
  <c r="D77" i="5"/>
  <c r="C77" i="5"/>
  <c r="E76" i="5"/>
  <c r="D76" i="5"/>
  <c r="C76" i="5"/>
  <c r="E75" i="5"/>
  <c r="D75" i="5"/>
  <c r="C75" i="5"/>
  <c r="E74" i="5"/>
  <c r="D74" i="5"/>
  <c r="C74" i="5"/>
  <c r="E73" i="5"/>
  <c r="D73" i="5"/>
  <c r="C73" i="5"/>
  <c r="E72" i="5"/>
  <c r="D72" i="5"/>
  <c r="C72" i="5"/>
  <c r="E71" i="5"/>
  <c r="D71" i="5"/>
  <c r="C71" i="5"/>
  <c r="E70" i="5"/>
  <c r="D70" i="5"/>
  <c r="C70" i="5"/>
  <c r="C69" i="5"/>
  <c r="C68" i="5"/>
  <c r="E67" i="5"/>
  <c r="C67" i="5"/>
  <c r="C66" i="5"/>
  <c r="C65" i="5"/>
  <c r="D64" i="5"/>
  <c r="C64" i="5"/>
  <c r="U57" i="5"/>
  <c r="T57" i="5"/>
  <c r="S57" i="5"/>
  <c r="U56" i="5"/>
  <c r="T56" i="5"/>
  <c r="S56" i="5"/>
  <c r="U55" i="5"/>
  <c r="T55" i="5"/>
  <c r="S55" i="5"/>
  <c r="U54" i="5"/>
  <c r="T54" i="5"/>
  <c r="S54" i="5"/>
  <c r="U53" i="5"/>
  <c r="T53" i="5"/>
  <c r="S53" i="5"/>
  <c r="U52" i="5"/>
  <c r="T52" i="5"/>
  <c r="S52" i="5"/>
  <c r="U51" i="5"/>
  <c r="T51" i="5"/>
  <c r="S51" i="5"/>
  <c r="U50" i="5"/>
  <c r="T50" i="5"/>
  <c r="S50" i="5"/>
  <c r="U49" i="5"/>
  <c r="T49" i="5"/>
  <c r="S49" i="5"/>
  <c r="U48" i="5"/>
  <c r="T48" i="5"/>
  <c r="S48" i="5"/>
  <c r="P57" i="5"/>
  <c r="O57" i="5"/>
  <c r="N57" i="5"/>
  <c r="P56" i="5"/>
  <c r="O56" i="5"/>
  <c r="N56" i="5"/>
  <c r="P55" i="5"/>
  <c r="O55" i="5"/>
  <c r="N55" i="5"/>
  <c r="P54" i="5"/>
  <c r="O54" i="5"/>
  <c r="N54" i="5"/>
  <c r="P53" i="5"/>
  <c r="O53" i="5"/>
  <c r="N53" i="5"/>
  <c r="P52" i="5"/>
  <c r="O52" i="5"/>
  <c r="N52" i="5"/>
  <c r="P51" i="5"/>
  <c r="O51" i="5"/>
  <c r="N51" i="5"/>
  <c r="P50" i="5"/>
  <c r="O50" i="5"/>
  <c r="N50" i="5"/>
  <c r="P49" i="5"/>
  <c r="O49" i="5"/>
  <c r="N49" i="5"/>
  <c r="P48" i="5"/>
  <c r="O48" i="5"/>
  <c r="N48" i="5"/>
  <c r="J56" i="5"/>
  <c r="J55" i="5"/>
  <c r="J54" i="5"/>
  <c r="J53" i="5"/>
  <c r="J52" i="5"/>
  <c r="J51" i="5"/>
  <c r="J50" i="5"/>
  <c r="I56" i="5"/>
  <c r="I55" i="5"/>
  <c r="I54" i="5"/>
  <c r="I53" i="5"/>
  <c r="I52" i="5"/>
  <c r="I51" i="5"/>
  <c r="I50" i="5"/>
  <c r="H56" i="5"/>
  <c r="H55" i="5"/>
  <c r="H54" i="5"/>
  <c r="H53" i="5"/>
  <c r="H52" i="5"/>
  <c r="H51" i="5"/>
  <c r="H50" i="5"/>
  <c r="J49" i="5"/>
  <c r="I49" i="5"/>
  <c r="H49" i="5"/>
  <c r="E56" i="5"/>
  <c r="E55" i="5"/>
  <c r="E54" i="5"/>
  <c r="E53" i="5"/>
  <c r="E52" i="5"/>
  <c r="E51" i="5"/>
  <c r="E50" i="5"/>
  <c r="D56" i="5"/>
  <c r="D55" i="5"/>
  <c r="D54" i="5"/>
  <c r="D53" i="5"/>
  <c r="D52" i="5"/>
  <c r="D51" i="5"/>
  <c r="D50" i="5"/>
  <c r="C56" i="5"/>
  <c r="C55" i="5"/>
  <c r="C54" i="5"/>
  <c r="C53" i="5"/>
  <c r="C52" i="5"/>
  <c r="C51" i="5"/>
  <c r="C50" i="5"/>
  <c r="E49" i="5"/>
  <c r="D49" i="5"/>
  <c r="C49" i="5"/>
  <c r="U44" i="5"/>
  <c r="T44" i="5"/>
  <c r="S44" i="5"/>
  <c r="U43" i="5"/>
  <c r="T43" i="5"/>
  <c r="S43" i="5"/>
  <c r="U42" i="5"/>
  <c r="T42" i="5"/>
  <c r="S42" i="5"/>
  <c r="U41" i="5"/>
  <c r="T41" i="5"/>
  <c r="S41" i="5"/>
  <c r="U40" i="5"/>
  <c r="T40" i="5"/>
  <c r="S40" i="5"/>
  <c r="U39" i="5"/>
  <c r="T39" i="5"/>
  <c r="S39" i="5"/>
  <c r="U38" i="5"/>
  <c r="T38" i="5"/>
  <c r="S38" i="5"/>
  <c r="U37" i="5"/>
  <c r="T37" i="5"/>
  <c r="S37" i="5"/>
  <c r="U36" i="5"/>
  <c r="T36" i="5"/>
  <c r="S36" i="5"/>
  <c r="U35" i="5"/>
  <c r="T35" i="5"/>
  <c r="S35" i="5"/>
  <c r="U34" i="5"/>
  <c r="T34" i="5"/>
  <c r="S34" i="5"/>
  <c r="U33" i="5"/>
  <c r="T33" i="5"/>
  <c r="S33" i="5"/>
  <c r="U32" i="5"/>
  <c r="T32" i="5"/>
  <c r="S32" i="5"/>
  <c r="U31" i="5"/>
  <c r="T31" i="5"/>
  <c r="S31" i="5"/>
  <c r="U30" i="5"/>
  <c r="T30" i="5"/>
  <c r="S30" i="5"/>
  <c r="U29" i="5"/>
  <c r="T29" i="5"/>
  <c r="S29" i="5"/>
  <c r="U28" i="5"/>
  <c r="T28" i="5"/>
  <c r="S28" i="5"/>
  <c r="U27" i="5"/>
  <c r="T27" i="5"/>
  <c r="S27" i="5"/>
  <c r="U26" i="5"/>
  <c r="T26" i="5"/>
  <c r="S26" i="5"/>
  <c r="U25" i="5"/>
  <c r="T25" i="5"/>
  <c r="S25" i="5"/>
  <c r="U24" i="5"/>
  <c r="T24" i="5"/>
  <c r="S24" i="5"/>
  <c r="U23" i="5"/>
  <c r="T23" i="5"/>
  <c r="S23" i="5"/>
  <c r="U22" i="5"/>
  <c r="T22" i="5"/>
  <c r="S22" i="5"/>
  <c r="U21" i="5"/>
  <c r="T21" i="5"/>
  <c r="S21" i="5"/>
  <c r="U20" i="5"/>
  <c r="T20" i="5"/>
  <c r="S20" i="5"/>
  <c r="U19" i="5"/>
  <c r="T19" i="5"/>
  <c r="S19" i="5"/>
  <c r="U18" i="5"/>
  <c r="T18" i="5"/>
  <c r="S18" i="5"/>
  <c r="U17" i="5"/>
  <c r="T17" i="5"/>
  <c r="S17" i="5"/>
  <c r="U16" i="5"/>
  <c r="T16" i="5"/>
  <c r="S16" i="5"/>
  <c r="U15" i="5"/>
  <c r="T15" i="5"/>
  <c r="S15" i="5"/>
  <c r="U14" i="5"/>
  <c r="T14" i="5"/>
  <c r="S14" i="5"/>
  <c r="U13" i="5"/>
  <c r="T13" i="5"/>
  <c r="S13" i="5"/>
  <c r="U12" i="5"/>
  <c r="T12" i="5"/>
  <c r="S12" i="5"/>
  <c r="U11" i="5"/>
  <c r="T11" i="5"/>
  <c r="S11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P11" i="5"/>
  <c r="O11" i="5"/>
  <c r="N11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E11" i="5"/>
  <c r="D11" i="5"/>
</calcChain>
</file>

<file path=xl/connections.xml><?xml version="1.0" encoding="utf-8"?>
<connections xmlns="http://schemas.openxmlformats.org/spreadsheetml/2006/main">
  <connection id="1" name="BOARD_CUBEv2" type="6" refreshedVersion="0" background="1" saveData="1">
    <textPr fileType="mac" firstRow="81" sourceFile="/Users/CAlberto/Windows/EmbeddedLib/matlab/MOTOREPP/BOARD_CUBEv2/BOARD_CUBEv2.txt" decimal="," thousands=".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<sst xmlns="http://schemas.openxmlformats.org/spreadsheetml/2006/main" count="1861" uniqueCount="893">
  <si>
    <t>Connector</t>
  </si>
  <si>
    <t>Pin</t>
  </si>
  <si>
    <t>Pin name</t>
  </si>
  <si>
    <t>Signal name</t>
  </si>
  <si>
    <t>STM32 pin</t>
  </si>
  <si>
    <t>Function</t>
  </si>
  <si>
    <t>Remark</t>
  </si>
  <si>
    <t>Usable</t>
  </si>
  <si>
    <t>Port</t>
  </si>
  <si>
    <t>N</t>
  </si>
  <si>
    <t>NC</t>
  </si>
  <si>
    <t>IOREF</t>
  </si>
  <si>
    <t>RESET</t>
  </si>
  <si>
    <t>+3V3</t>
  </si>
  <si>
    <t>+5V</t>
  </si>
  <si>
    <t>GND</t>
  </si>
  <si>
    <t>VIN</t>
  </si>
  <si>
    <t>D43</t>
  </si>
  <si>
    <t>D44</t>
  </si>
  <si>
    <t>D45</t>
  </si>
  <si>
    <t>D46</t>
  </si>
  <si>
    <t>D47</t>
  </si>
  <si>
    <t>D48</t>
  </si>
  <si>
    <t>D49</t>
  </si>
  <si>
    <t>D50</t>
  </si>
  <si>
    <t>CN8</t>
  </si>
  <si>
    <t>SDMMC_D0</t>
  </si>
  <si>
    <t>SDMMC_D1/ I2S_A_CKIN</t>
  </si>
  <si>
    <t>SDMMC_D2</t>
  </si>
  <si>
    <t>SDMMC_D3</t>
  </si>
  <si>
    <t>SDMMC_CK</t>
  </si>
  <si>
    <t>SDMMC_CMD</t>
  </si>
  <si>
    <t>I/O</t>
  </si>
  <si>
    <t>-</t>
  </si>
  <si>
    <t>NRST</t>
  </si>
  <si>
    <t>PC8</t>
  </si>
  <si>
    <t>PC9</t>
  </si>
  <si>
    <t>PC10</t>
  </si>
  <si>
    <t>PC11</t>
  </si>
  <si>
    <t>PC12</t>
  </si>
  <si>
    <t>PD2</t>
  </si>
  <si>
    <t>PG2</t>
  </si>
  <si>
    <t>PG3</t>
  </si>
  <si>
    <t>3.3V Ref</t>
  </si>
  <si>
    <t>3.3V input/output</t>
  </si>
  <si>
    <t>5V output</t>
  </si>
  <si>
    <t>Ground</t>
  </si>
  <si>
    <t>Power input</t>
  </si>
  <si>
    <t>SDMMC/I2S_A</t>
  </si>
  <si>
    <t>Arduino support</t>
  </si>
  <si>
    <t>PCB_v4.0</t>
  </si>
  <si>
    <t>A0</t>
  </si>
  <si>
    <t>A1</t>
  </si>
  <si>
    <t>A2</t>
  </si>
  <si>
    <t>A3</t>
  </si>
  <si>
    <t>A4</t>
  </si>
  <si>
    <t>A5</t>
  </si>
  <si>
    <t>ADC</t>
  </si>
  <si>
    <t>PA3</t>
  </si>
  <si>
    <t>PC0</t>
  </si>
  <si>
    <t>PC3</t>
  </si>
  <si>
    <t>PF3</t>
  </si>
  <si>
    <t>PF10 or PB8(1)</t>
  </si>
  <si>
    <t>PF5 or PB9(1)</t>
  </si>
  <si>
    <t>ADC123_IN3</t>
  </si>
  <si>
    <t>ADC123_IN10</t>
  </si>
  <si>
    <t>ADC123_IN13</t>
  </si>
  <si>
    <t>ADC3_IN9</t>
  </si>
  <si>
    <t>PB9</t>
  </si>
  <si>
    <t>ADCC3_IN15 (PF5) or I2C1_SDA (PB9)</t>
  </si>
  <si>
    <t>ADC3_IN8 (PF10 or 12C1_SCL (PB8))</t>
  </si>
  <si>
    <t>CN9</t>
  </si>
  <si>
    <t>R_C</t>
  </si>
  <si>
    <t>L_C</t>
  </si>
  <si>
    <t>x</t>
  </si>
  <si>
    <t>D72</t>
  </si>
  <si>
    <t>D71</t>
  </si>
  <si>
    <t>D70</t>
  </si>
  <si>
    <t>D69</t>
  </si>
  <si>
    <t>D68</t>
  </si>
  <si>
    <t>D67</t>
  </si>
  <si>
    <t>D66</t>
  </si>
  <si>
    <t>D65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</si>
  <si>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</si>
  <si>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</si>
  <si>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</si>
  <si>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</si>
  <si>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</si>
  <si>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</si>
  <si>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</si>
  <si>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</si>
  <si>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</si>
  <si>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</si>
  <si>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D61</t>
  </si>
  <si>
    <t>D62</t>
  </si>
  <si>
    <t>D63</t>
  </si>
  <si>
    <t>D64</t>
  </si>
  <si>
    <r>
      <t>PA7</t>
    </r>
    <r>
      <rPr>
        <sz val="7"/>
        <color theme="1"/>
        <rFont val="Arial"/>
        <family val="2"/>
      </rPr>
      <t>(2)</t>
    </r>
  </si>
  <si>
    <t>I2C_B_SMBA</t>
  </si>
  <si>
    <t>PF2</t>
  </si>
  <si>
    <t>I2C_B_SCL</t>
  </si>
  <si>
    <t>PF1</t>
  </si>
  <si>
    <t>I2C_B_SDA</t>
  </si>
  <si>
    <t>PF0</t>
  </si>
  <si>
    <t>CAN_RX</t>
  </si>
  <si>
    <t>PD0</t>
  </si>
  <si>
    <t>CAN_TX</t>
  </si>
  <si>
    <t>PD1</t>
  </si>
  <si>
    <t>PG0</t>
  </si>
  <si>
    <t>USART_B_SCLK</t>
  </si>
  <si>
    <t>PD7</t>
  </si>
  <si>
    <t>USART_B_RX</t>
  </si>
  <si>
    <t>PD6</t>
  </si>
  <si>
    <t>USART_B_TX</t>
  </si>
  <si>
    <t>PD5</t>
  </si>
  <si>
    <t>USART_B_RTS</t>
  </si>
  <si>
    <t>PD4</t>
  </si>
  <si>
    <t>USART_B_CTS</t>
  </si>
  <si>
    <t>PD3</t>
  </si>
  <si>
    <t>SAI_A_MCLK</t>
  </si>
  <si>
    <r>
      <t>PE2</t>
    </r>
    <r>
      <rPr>
        <sz val="7"/>
        <color theme="1"/>
        <rFont val="Arial"/>
        <family val="2"/>
      </rPr>
      <t>(3)</t>
    </r>
  </si>
  <si>
    <t>SAI_A_FS</t>
  </si>
  <si>
    <t>PE4</t>
  </si>
  <si>
    <t>SAI_A_SCK</t>
  </si>
  <si>
    <t>PE5</t>
  </si>
  <si>
    <t>SAI_A_SD</t>
  </si>
  <si>
    <t>PE6</t>
  </si>
  <si>
    <t>SAI_B_SD</t>
  </si>
  <si>
    <t>PE3</t>
  </si>
  <si>
    <t>SAI_B_SCK</t>
  </si>
  <si>
    <t>PF8</t>
  </si>
  <si>
    <t>SAI_B_MCLK</t>
  </si>
  <si>
    <t>PF7</t>
  </si>
  <si>
    <t>SAI_B_FS</t>
  </si>
  <si>
    <t>PF9</t>
  </si>
  <si>
    <t>PG1</t>
  </si>
  <si>
    <t>I2C_2</t>
  </si>
  <si>
    <t>CAN_1</t>
  </si>
  <si>
    <t>USART_2</t>
  </si>
  <si>
    <t>SAI_1_A</t>
  </si>
  <si>
    <t>SAI_1_B</t>
  </si>
  <si>
    <t>D16</t>
  </si>
  <si>
    <t>I2S_A_MCK</t>
  </si>
  <si>
    <t>PC6</t>
  </si>
  <si>
    <t>D17</t>
  </si>
  <si>
    <t>I2S_A_SD</t>
  </si>
  <si>
    <t>PB15</t>
  </si>
  <si>
    <t>D18</t>
  </si>
  <si>
    <t>I2S_A_CK</t>
  </si>
  <si>
    <r>
      <t>PB13</t>
    </r>
    <r>
      <rPr>
        <sz val="7"/>
        <color theme="1"/>
        <rFont val="Arial"/>
        <family val="2"/>
      </rPr>
      <t>(4)</t>
    </r>
  </si>
  <si>
    <t>D19</t>
  </si>
  <si>
    <t>I2S_A_WS</t>
  </si>
  <si>
    <t>PB12</t>
  </si>
  <si>
    <t>D20</t>
  </si>
  <si>
    <t>I2S_B_WS</t>
  </si>
  <si>
    <t>PA15</t>
  </si>
  <si>
    <t>D21</t>
  </si>
  <si>
    <t>I2S_B_MCK</t>
  </si>
  <si>
    <t>PC7</t>
  </si>
  <si>
    <t>D22</t>
  </si>
  <si>
    <t>I2S_B_SD/ SPI_B_MOSI</t>
  </si>
  <si>
    <t>PB5</t>
  </si>
  <si>
    <t>D23</t>
  </si>
  <si>
    <t>I2S_B_CK/ SPI_B_SCK</t>
  </si>
  <si>
    <t>PB3</t>
  </si>
  <si>
    <t>D24</t>
  </si>
  <si>
    <t>SPI_B_NSS</t>
  </si>
  <si>
    <t>PA4</t>
  </si>
  <si>
    <t>D25</t>
  </si>
  <si>
    <t>SPI_B_MISO</t>
  </si>
  <si>
    <t>PB4</t>
  </si>
  <si>
    <t>D15</t>
  </si>
  <si>
    <t>I2C_A_SCL</t>
  </si>
  <si>
    <t>PB8</t>
  </si>
  <si>
    <t>I2S_2</t>
  </si>
  <si>
    <t>I2S_3 / SPI3</t>
  </si>
  <si>
    <t>I2C1_SCL</t>
  </si>
  <si>
    <t>CN7</t>
  </si>
  <si>
    <t>D14</t>
  </si>
  <si>
    <t>I2C_A_SDA</t>
  </si>
  <si>
    <t>AREF</t>
  </si>
  <si>
    <t>D13</t>
  </si>
  <si>
    <t>SPI_A_SCK</t>
  </si>
  <si>
    <t>PA5</t>
  </si>
  <si>
    <t>D12</t>
  </si>
  <si>
    <t>SPI_A_MISO</t>
  </si>
  <si>
    <t>PA6</t>
  </si>
  <si>
    <t>D11</t>
  </si>
  <si>
    <t>SPI_A_MOSI/ TIM_E_PWM1</t>
  </si>
  <si>
    <r>
      <t>PA7</t>
    </r>
    <r>
      <rPr>
        <sz val="7"/>
        <rFont val="Arial"/>
        <family val="2"/>
      </rPr>
      <t>(1)(2)</t>
    </r>
    <r>
      <rPr>
        <sz val="7"/>
        <color theme="1"/>
        <rFont val="Arial"/>
        <family val="2"/>
      </rPr>
      <t xml:space="preserve"> </t>
    </r>
    <r>
      <rPr>
        <sz val="9"/>
        <color theme="1"/>
        <rFont val="Arial"/>
        <family val="2"/>
      </rPr>
      <t>or PB5</t>
    </r>
    <r>
      <rPr>
        <sz val="7"/>
        <rFont val="Arial"/>
        <family val="2"/>
      </rPr>
      <t>(1)</t>
    </r>
  </si>
  <si>
    <t>D10</t>
  </si>
  <si>
    <t>SPI_A_CS/ TIM_B_PWM3</t>
  </si>
  <si>
    <t>PD14</t>
  </si>
  <si>
    <t>D9</t>
  </si>
  <si>
    <t>TIMER_B_PWM2</t>
  </si>
  <si>
    <t>PD15</t>
  </si>
  <si>
    <t>D8</t>
  </si>
  <si>
    <t>PF12</t>
  </si>
  <si>
    <t>I2C1_SDA</t>
  </si>
  <si>
    <t>AVDD</t>
  </si>
  <si>
    <t>SPI1_SCK</t>
  </si>
  <si>
    <t>SPI1_MISO</t>
  </si>
  <si>
    <t>SPI1_MOSI/ TIM14_CH1</t>
  </si>
  <si>
    <t>SPI1_CS/ TIM4_CH3</t>
  </si>
  <si>
    <t>TIM4_CH4</t>
  </si>
  <si>
    <t>AGND</t>
  </si>
  <si>
    <t>A6</t>
  </si>
  <si>
    <t>ADC_A_IN</t>
  </si>
  <si>
    <t>PB1</t>
  </si>
  <si>
    <t>A7</t>
  </si>
  <si>
    <t>ADC_B_IN</t>
  </si>
  <si>
    <t>PC2</t>
  </si>
  <si>
    <t>A8</t>
  </si>
  <si>
    <t>ADC_C_IN</t>
  </si>
  <si>
    <t>PF4</t>
  </si>
  <si>
    <t>D26</t>
  </si>
  <si>
    <t>QSPI_CS</t>
  </si>
  <si>
    <t>PB6</t>
  </si>
  <si>
    <t>D27</t>
  </si>
  <si>
    <t>QSPI_CLK</t>
  </si>
  <si>
    <t>PB2</t>
  </si>
  <si>
    <t>D28</t>
  </si>
  <si>
    <t>QSPI_BK1_IO3</t>
  </si>
  <si>
    <t>PD13</t>
  </si>
  <si>
    <t>D29</t>
  </si>
  <si>
    <t>QSPI_BK1_IO1</t>
  </si>
  <si>
    <t>PD12</t>
  </si>
  <si>
    <t>D30</t>
  </si>
  <si>
    <t>QSPI_BK1_IO0</t>
  </si>
  <si>
    <t>PD11</t>
  </si>
  <si>
    <t>D31</t>
  </si>
  <si>
    <t>QSPI_BK1_IO2</t>
  </si>
  <si>
    <t>PE2(3)</t>
  </si>
  <si>
    <t>D32</t>
  </si>
  <si>
    <t>TIMER_C_PWM1</t>
  </si>
  <si>
    <t>PA0</t>
  </si>
  <si>
    <t>D33</t>
  </si>
  <si>
    <t>TIMER_D_PWM1</t>
  </si>
  <si>
    <t>PB0</t>
  </si>
  <si>
    <t>D34</t>
  </si>
  <si>
    <t>TIMER_B_ETR</t>
  </si>
  <si>
    <t>PE0</t>
  </si>
  <si>
    <t>D7</t>
  </si>
  <si>
    <t>PF13</t>
  </si>
  <si>
    <t>D6</t>
  </si>
  <si>
    <t>TIMER_A_PWM1</t>
  </si>
  <si>
    <t>PE9</t>
  </si>
  <si>
    <t>D5</t>
  </si>
  <si>
    <t>TIMER_A_PWM2</t>
  </si>
  <si>
    <t>PE11</t>
  </si>
  <si>
    <t>D4</t>
  </si>
  <si>
    <t>PF14</t>
  </si>
  <si>
    <t>D3</t>
  </si>
  <si>
    <t>TIMER_A_PWM3</t>
  </si>
  <si>
    <t>PE13</t>
  </si>
  <si>
    <t>D2</t>
  </si>
  <si>
    <t>PF15</t>
  </si>
  <si>
    <t>D1</t>
  </si>
  <si>
    <t>USART_A_TX</t>
  </si>
  <si>
    <t>PG14</t>
  </si>
  <si>
    <t>D0</t>
  </si>
  <si>
    <t>USART_A_RX</t>
  </si>
  <si>
    <t>PG9</t>
  </si>
  <si>
    <t>D42</t>
  </si>
  <si>
    <t>TIMER_A_PWM1N</t>
  </si>
  <si>
    <t>PE8</t>
  </si>
  <si>
    <t>D41</t>
  </si>
  <si>
    <t>TIMER_A_ETR</t>
  </si>
  <si>
    <t>PE7</t>
  </si>
  <si>
    <t>Analog VDD</t>
  </si>
  <si>
    <t>Analog Ground</t>
  </si>
  <si>
    <t>ADC12_IN9</t>
  </si>
  <si>
    <t>ADC123_IN12</t>
  </si>
  <si>
    <t>ADC3_IN14</t>
  </si>
  <si>
    <t>QSPI_BK1</t>
  </si>
  <si>
    <t>TIM2_CH1</t>
  </si>
  <si>
    <t>TIM3_CH3</t>
  </si>
  <si>
    <t>TIM4_ETR</t>
  </si>
  <si>
    <t>TIM1_CH1</t>
  </si>
  <si>
    <t>TIM1_CH2</t>
  </si>
  <si>
    <t>TIM1_CH3</t>
  </si>
  <si>
    <t>USART6</t>
  </si>
  <si>
    <t>TIM1_CH1N</t>
  </si>
  <si>
    <t>TIM1_ETR</t>
  </si>
  <si>
    <t>D40</t>
  </si>
  <si>
    <t>D39</t>
  </si>
  <si>
    <t>D38</t>
  </si>
  <si>
    <t>D37</t>
  </si>
  <si>
    <t>D36</t>
  </si>
  <si>
    <t>D35</t>
  </si>
  <si>
    <t>TIMER_A_PWM2N</t>
  </si>
  <si>
    <t>PE10</t>
  </si>
  <si>
    <t>TIM1_CH2N</t>
  </si>
  <si>
    <t>TIMER_A_PWM3N</t>
  </si>
  <si>
    <t>PE12</t>
  </si>
  <si>
    <t>TIM1_CH3N</t>
  </si>
  <si>
    <t>PE14</t>
  </si>
  <si>
    <t>TIMER_A_BKIN1</t>
  </si>
  <si>
    <t>PE15</t>
  </si>
  <si>
    <t>TIM1_BKIN1</t>
  </si>
  <si>
    <t>TIMER_C_PWM2</t>
  </si>
  <si>
    <t>PB10</t>
  </si>
  <si>
    <t>TIM2_CH3</t>
  </si>
  <si>
    <t>TIMER_C_PWM3</t>
  </si>
  <si>
    <t>PB11</t>
  </si>
  <si>
    <t>TIM2_CH4</t>
  </si>
  <si>
    <t>CN10</t>
  </si>
  <si>
    <t>VDD</t>
  </si>
  <si>
    <t>E5V</t>
  </si>
  <si>
    <t>VBAT</t>
  </si>
  <si>
    <t>A</t>
  </si>
  <si>
    <t>B</t>
  </si>
  <si>
    <t>C</t>
  </si>
  <si>
    <t>D</t>
  </si>
  <si>
    <t>E</t>
  </si>
  <si>
    <t>F</t>
  </si>
  <si>
    <t>G</t>
  </si>
  <si>
    <t>H</t>
  </si>
  <si>
    <t>Signal Name</t>
  </si>
  <si>
    <t>Function1</t>
  </si>
  <si>
    <t>I2S_3 / SPI4</t>
  </si>
  <si>
    <t>I/O, SPI1_MOSI/ TIM14_CH1</t>
  </si>
  <si>
    <t>I/O, SPI_A_MOSI/ TIM_E_PWM1</t>
  </si>
  <si>
    <t>SAI_A_MCLK, QSPI_BK1_IO2</t>
  </si>
  <si>
    <t>PWM_M1</t>
  </si>
  <si>
    <t>PWM_M2</t>
  </si>
  <si>
    <t>PWM_M3</t>
  </si>
  <si>
    <t>ETH_MII_TXD3</t>
  </si>
  <si>
    <t>ETH_MDC</t>
  </si>
  <si>
    <t>ETH_MII_TXD2</t>
  </si>
  <si>
    <t>ETH_MII_TX_CLK</t>
  </si>
  <si>
    <t>ETH_MII_CRS</t>
  </si>
  <si>
    <t>ETH_MII_RX_CLK/ETH_RMII_REF_CLK</t>
  </si>
  <si>
    <t>ETH_MDIO</t>
  </si>
  <si>
    <t>ETH_MII_COL</t>
  </si>
  <si>
    <t>si</t>
  </si>
  <si>
    <t>no</t>
  </si>
  <si>
    <t>ETH_MII_RXD0/ETH_RMII_RXD0</t>
  </si>
  <si>
    <t>ETH_MII_RX_DV/ETH_RMII_CRS_DV</t>
  </si>
  <si>
    <t>ETH_MII_RXD2</t>
  </si>
  <si>
    <t>ETH_MII_RXD3</t>
  </si>
  <si>
    <t>ETH_MII_RX_ER</t>
  </si>
  <si>
    <t>ETH_MII_TXD0/ETH_RMII_TXD0</t>
  </si>
  <si>
    <t>ETH_MII_TXD1/ETH_RMII_TXD1</t>
  </si>
  <si>
    <t>ETH_PPS_OUT</t>
  </si>
  <si>
    <t>ETH_MII_TX_EN/ETH_RMII_TX_EN</t>
  </si>
  <si>
    <t>USART6_TX</t>
  </si>
  <si>
    <t>USART2_CTS</t>
  </si>
  <si>
    <t>USART2_TX</t>
  </si>
  <si>
    <t>USART2_RX</t>
  </si>
  <si>
    <t>USART2_CK</t>
  </si>
  <si>
    <t>USART3_TX</t>
  </si>
  <si>
    <t>USART3_RX</t>
  </si>
  <si>
    <t>USART3_CK</t>
  </si>
  <si>
    <t>USART3_CTS</t>
  </si>
  <si>
    <t>USART3_RTS</t>
  </si>
  <si>
    <t>USART6_CK</t>
  </si>
  <si>
    <t>USART6_RTS</t>
  </si>
  <si>
    <t>USART6_RX</t>
  </si>
  <si>
    <t>USART1_RX</t>
  </si>
  <si>
    <t>USART1_CTS</t>
  </si>
  <si>
    <t>USART1_RTS</t>
  </si>
  <si>
    <t>ETH_MII_RXD1/ETH_RMII_RXD1</t>
  </si>
  <si>
    <t>USART2_RTS</t>
  </si>
  <si>
    <t>USART6_CTS</t>
  </si>
  <si>
    <t>RMII_TX_EN</t>
  </si>
  <si>
    <t>RMII_TXD0</t>
  </si>
  <si>
    <t>RMII_TXD1</t>
  </si>
  <si>
    <t>NRST (pin25 STM)</t>
  </si>
  <si>
    <t>ETH_MII_ RX_CLK/ ETH_RMI I_REF_C LK</t>
  </si>
  <si>
    <t>MCU/SD_D3</t>
  </si>
  <si>
    <t>MCU/SD_D2</t>
  </si>
  <si>
    <t>MCU/SD_D1</t>
  </si>
  <si>
    <t>MCU/SD_D0</t>
  </si>
  <si>
    <t>MCU/SD_CLK</t>
  </si>
  <si>
    <t>MCU/SD_CMD</t>
  </si>
  <si>
    <t>USB OTG</t>
  </si>
  <si>
    <t>USB SOF</t>
  </si>
  <si>
    <t>USB ID</t>
  </si>
  <si>
    <t>USB DM</t>
  </si>
  <si>
    <t>USB DP</t>
  </si>
  <si>
    <t>USB GPIO OUT</t>
  </si>
  <si>
    <t>USB GPIO IN</t>
  </si>
  <si>
    <t>LD1 LED-GREEN</t>
  </si>
  <si>
    <t>LD2 LED-BLUE</t>
  </si>
  <si>
    <t>LD3 LED-RED</t>
  </si>
  <si>
    <t>Ethernet Pins</t>
  </si>
  <si>
    <t>32 kHz Clock (X2)</t>
  </si>
  <si>
    <t>MCO ST-LINK</t>
  </si>
  <si>
    <t>BOOT1</t>
  </si>
  <si>
    <t>USER BUTTON</t>
  </si>
  <si>
    <t>VBUS CONTROL</t>
  </si>
  <si>
    <t>EXTERNAL VOLTAGE (7v to 12v) - JUMPER JP3</t>
  </si>
  <si>
    <t>EXTERNAL VOLTAGE (5v JUMPER JP3)</t>
  </si>
  <si>
    <t>3.3V</t>
  </si>
  <si>
    <t>BOOT0</t>
  </si>
  <si>
    <t>MCU/SD_WP</t>
  </si>
  <si>
    <t>MCU/SD_CD</t>
  </si>
  <si>
    <t>TIM4_CH2</t>
  </si>
  <si>
    <t>TIM1_CH2N, TIM3_CH3,
TIM8_CH2N</t>
  </si>
  <si>
    <t>TIM1_CH2N,
TIM8_CH2N, TIM12_CH1</t>
  </si>
  <si>
    <r>
      <t xml:space="preserve">TIM1_CH2N, </t>
    </r>
    <r>
      <rPr>
        <b/>
        <sz val="9"/>
        <color theme="1"/>
        <rFont val="Arial"/>
        <family val="2"/>
      </rPr>
      <t>TIM3_CH3</t>
    </r>
    <r>
      <rPr>
        <sz val="9"/>
        <color theme="1"/>
        <rFont val="Arial"/>
        <family val="2"/>
      </rPr>
      <t>,
TIM8_CH2N</t>
    </r>
  </si>
  <si>
    <t>TIMER</t>
  </si>
  <si>
    <t>TIM9_CH1</t>
  </si>
  <si>
    <t>TIM1_BKIN2,
TIM9_CH2</t>
  </si>
  <si>
    <t>TIM10_CH1</t>
  </si>
  <si>
    <t>TIM11_CH1</t>
  </si>
  <si>
    <t>TIM13_CH1</t>
  </si>
  <si>
    <t>TIM14_CH1</t>
  </si>
  <si>
    <t>TIM2_CH2, TIM5_CH2,</t>
  </si>
  <si>
    <t>TIM2_CH3, TIM5_CH3,
TIM9_CH1</t>
  </si>
  <si>
    <t>TIM2_CH4, TIM5_CH4,
TIM9_CH2</t>
  </si>
  <si>
    <t>TIM2_CH1/TIM2_ETR, TIM8_CH1N</t>
  </si>
  <si>
    <t>TIM1_BKIN, TIM3_CH1,
TIM8_BKIN, TIM13_CH1</t>
  </si>
  <si>
    <t>TIM1_CH1N, TIM3_CH2,
TIM8_CH1N, TIM14_CH1</t>
  </si>
  <si>
    <t>TIM1_CH3N, TIM3_CH4,
TIM8_CH3N</t>
  </si>
  <si>
    <t>TIM1_CH4</t>
  </si>
  <si>
    <t>TIM1_BKIN</t>
  </si>
  <si>
    <t>TIM1_CH2N, TIM8_CH2N, TIM12_CH1</t>
  </si>
  <si>
    <t>TIM1_CH3N,
TIM8_CH3N, TIM12_CH2</t>
  </si>
  <si>
    <t>TIM4_CH1</t>
  </si>
  <si>
    <t>TIM4_CH3</t>
  </si>
  <si>
    <t>TIM3_CH1, TIM8_CH1</t>
  </si>
  <si>
    <t>TIM3_CH2, TIM8_CH2</t>
  </si>
  <si>
    <t>TIM3_CH3, TIM8_CH3</t>
  </si>
  <si>
    <t>TIM3_CH4, TIM8_CH4</t>
  </si>
  <si>
    <t>TIM1_CH1, TIM8_BKIN2</t>
  </si>
  <si>
    <t>TIM2_CH1/TIM2_ETR</t>
  </si>
  <si>
    <t>TIM3_ETR</t>
  </si>
  <si>
    <t>TIM2_CH2</t>
  </si>
  <si>
    <t>TIM3_CH1</t>
  </si>
  <si>
    <t>TIM3_CH2</t>
  </si>
  <si>
    <t>TIM4_CH3, TIM10_CH1</t>
  </si>
  <si>
    <t>TIM4_CH4, TIM11_CH1</t>
  </si>
  <si>
    <t>TIM2_CH1/TIM2_ETR, TIM5_CH1, TIM8_ETR</t>
  </si>
  <si>
    <t>si/no</t>
  </si>
  <si>
    <t>SWO</t>
  </si>
  <si>
    <t>OVER CURRENT ALARM</t>
  </si>
  <si>
    <t>INA_M1</t>
  </si>
  <si>
    <t>INB_M1</t>
  </si>
  <si>
    <t>ENA_M1</t>
  </si>
  <si>
    <t>INA_M2</t>
  </si>
  <si>
    <t>INB_M2</t>
  </si>
  <si>
    <t>ENA_M2</t>
  </si>
  <si>
    <t>INB_M3</t>
  </si>
  <si>
    <t>ENA_M3</t>
  </si>
  <si>
    <t>TX6_SERIAL</t>
  </si>
  <si>
    <t>RX6_SERIAL</t>
  </si>
  <si>
    <t>RX2_AUX</t>
  </si>
  <si>
    <t>TX2_AUX</t>
  </si>
  <si>
    <t>Buzzer</t>
  </si>
  <si>
    <t>IMU_SCL</t>
  </si>
  <si>
    <t>IMU_SDA</t>
  </si>
  <si>
    <t>INDEX_ENC3</t>
  </si>
  <si>
    <t>INDEX_ENC2</t>
  </si>
  <si>
    <t>INDEX_ENC1</t>
  </si>
  <si>
    <t>A_PWM1N/OUT</t>
  </si>
  <si>
    <t>A_PWM2N/OUT</t>
  </si>
  <si>
    <t>A_PWM3N/OUT</t>
  </si>
  <si>
    <t>VCP_RX3</t>
  </si>
  <si>
    <t>VCP_TX3</t>
  </si>
  <si>
    <t>UART5_RX</t>
  </si>
  <si>
    <t>UART8_Tx</t>
  </si>
  <si>
    <t>UART8_Rx</t>
  </si>
  <si>
    <t>DIG_IN0</t>
  </si>
  <si>
    <t>DIG_IN1</t>
  </si>
  <si>
    <t>DIG_IN2</t>
  </si>
  <si>
    <t>DIG_IN3</t>
  </si>
  <si>
    <t>DIG_IN4</t>
  </si>
  <si>
    <t>DIG_IN5</t>
  </si>
  <si>
    <t>DIG_OUT0</t>
  </si>
  <si>
    <t>DIG_OUT1</t>
  </si>
  <si>
    <t>DIG_OUT2</t>
  </si>
  <si>
    <t>DIG_OUT4</t>
  </si>
  <si>
    <t>DIG_OUT5</t>
  </si>
  <si>
    <t>DIG_OUT3</t>
  </si>
  <si>
    <t>T8_CH1_ENC3A</t>
  </si>
  <si>
    <t>T4_CH1_ENC2A</t>
  </si>
  <si>
    <t>T8_CH2_ENC3B</t>
  </si>
  <si>
    <t>T3_CH1_ENC1A</t>
  </si>
  <si>
    <t>T3_CH2_ENC1B</t>
  </si>
  <si>
    <t>SWIO</t>
  </si>
  <si>
    <t>SWCLK</t>
  </si>
  <si>
    <t>Bypass</t>
  </si>
  <si>
    <t>CAN1_TX</t>
  </si>
  <si>
    <t>CAN1_RX</t>
  </si>
  <si>
    <t>BOOT0(1)</t>
  </si>
  <si>
    <t>U5V(2)</t>
  </si>
  <si>
    <t>PB13(4)</t>
  </si>
  <si>
    <r>
      <t>PA7</t>
    </r>
    <r>
      <rPr>
        <sz val="9"/>
        <rFont val="Arial"/>
        <family val="2"/>
      </rPr>
      <t>(1)(2)</t>
    </r>
    <r>
      <rPr>
        <sz val="9"/>
        <color theme="1"/>
        <rFont val="Arial"/>
        <family val="2"/>
      </rPr>
      <t xml:space="preserve"> or PB5</t>
    </r>
    <r>
      <rPr>
        <sz val="9"/>
        <rFont val="Arial"/>
        <family val="2"/>
      </rPr>
      <t>(1)</t>
    </r>
  </si>
  <si>
    <t>PCB_v4.0 (pin_I/O)</t>
  </si>
  <si>
    <t>MOTORE (pin_I/O)</t>
  </si>
  <si>
    <t>Orig ord.</t>
  </si>
  <si>
    <t>N.C.</t>
  </si>
  <si>
    <t>SPI4_SCK</t>
  </si>
  <si>
    <t>Pin Nb</t>
  </si>
  <si>
    <t>PINs</t>
  </si>
  <si>
    <t>FUNCTIONs</t>
  </si>
  <si>
    <t>LABELs</t>
  </si>
  <si>
    <t>PE2</t>
  </si>
  <si>
    <t>ACCEL SPI4 SCK</t>
  </si>
  <si>
    <t>GPIO_Output</t>
  </si>
  <si>
    <t>ACCEL_NSS_GPIO Out</t>
  </si>
  <si>
    <t>SPI4_MISO</t>
  </si>
  <si>
    <t>ACCEL SPI4 MISO</t>
  </si>
  <si>
    <t>SPI4_MOSI</t>
  </si>
  <si>
    <t>ACCEL SPI4 MOSI</t>
  </si>
  <si>
    <t>PC13</t>
  </si>
  <si>
    <t>RTC_OUT_CALIB</t>
  </si>
  <si>
    <t>(R) RTC OUT</t>
  </si>
  <si>
    <t>PC14/OSC32_IN</t>
  </si>
  <si>
    <t>RCC_OSC32_IN</t>
  </si>
  <si>
    <t>RTC CRYSTAL</t>
  </si>
  <si>
    <t>PC15/OSC32_OUT</t>
  </si>
  <si>
    <t>RCC_OSC32_OUT</t>
  </si>
  <si>
    <t>I2C2_SDA</t>
  </si>
  <si>
    <t>I2C2_SDA -&gt; 1Wire</t>
  </si>
  <si>
    <t>I2C2_SCL</t>
  </si>
  <si>
    <t>I2C2_SCL -&gt; 1Wire</t>
  </si>
  <si>
    <t>LED1 White GPIO Out</t>
  </si>
  <si>
    <t>LED2 Red GPIO Out</t>
  </si>
  <si>
    <t>PF5</t>
  </si>
  <si>
    <t>LED3 Blue GPIO Out</t>
  </si>
  <si>
    <t>PF6</t>
  </si>
  <si>
    <t>SPI5_NSS</t>
  </si>
  <si>
    <t>SPI5_SCK</t>
  </si>
  <si>
    <t>(R) AUX SPI SCK</t>
  </si>
  <si>
    <t>SPI5_MISO</t>
  </si>
  <si>
    <t>(R) AUX SPI MISO</t>
  </si>
  <si>
    <t>SPI5_MOSI</t>
  </si>
  <si>
    <t>(R) AUX SPI MOSI</t>
  </si>
  <si>
    <t>PF10</t>
  </si>
  <si>
    <t>IO_WIFI GPIO Out</t>
  </si>
  <si>
    <t>PH0/OSC_IN</t>
  </si>
  <si>
    <t>RCC_OSC_IN</t>
  </si>
  <si>
    <t>CRYSTAL</t>
  </si>
  <si>
    <t>PH1/OSC_OUT</t>
  </si>
  <si>
    <t>RCC_OSC_OUT</t>
  </si>
  <si>
    <t>ADC3_IN10</t>
  </si>
  <si>
    <t>CS1 ADC3_IN10</t>
  </si>
  <si>
    <t>PC1</t>
  </si>
  <si>
    <t>ADC3_IN11</t>
  </si>
  <si>
    <t>CS2 ADC3_IN11</t>
  </si>
  <si>
    <t>ADC3_IN12</t>
  </si>
  <si>
    <t>CS3 ADC3_IN12</t>
  </si>
  <si>
    <t>ADC2_IN13</t>
  </si>
  <si>
    <t>ADC2_IN13 Vbatt</t>
  </si>
  <si>
    <t>PA0/WKUP</t>
  </si>
  <si>
    <t>ADC3_IN0</t>
  </si>
  <si>
    <t>ExtCS1 ADC3_IN0</t>
  </si>
  <si>
    <t>PA1</t>
  </si>
  <si>
    <t>ADC3_IN1</t>
  </si>
  <si>
    <t>ExtCS2 ADC3_IN1</t>
  </si>
  <si>
    <t>PA2</t>
  </si>
  <si>
    <t>ADC3_IN2</t>
  </si>
  <si>
    <t>ExtCS3 ADC3_IN2</t>
  </si>
  <si>
    <t>ADC1_IN3</t>
  </si>
  <si>
    <t>ADC1_IN3 OFS Cell</t>
  </si>
  <si>
    <t>DAC_OUT1</t>
  </si>
  <si>
    <t>(R) DAC1/ADC</t>
  </si>
  <si>
    <t>DAC_OUT2</t>
  </si>
  <si>
    <t>(R) DAC2/ADC</t>
  </si>
  <si>
    <t>ADC1_IN6</t>
  </si>
  <si>
    <t>ADC1_IN6 CellX</t>
  </si>
  <si>
    <t>PA7</t>
  </si>
  <si>
    <t>ADC1_IN7</t>
  </si>
  <si>
    <t>ADC1_IN7 CellY</t>
  </si>
  <si>
    <t>PC4</t>
  </si>
  <si>
    <t>ADC2_IN14</t>
  </si>
  <si>
    <t>ADC2_IN14 Reserved</t>
  </si>
  <si>
    <t>PC5</t>
  </si>
  <si>
    <t>ADC2_IN15</t>
  </si>
  <si>
    <t>ADC2_IN15 Reserved</t>
  </si>
  <si>
    <t>GPIO_Input</t>
  </si>
  <si>
    <t>SD_CARD_WP</t>
  </si>
  <si>
    <t>SD_CARD_CD</t>
  </si>
  <si>
    <t>(SYS) BOOT1</t>
  </si>
  <si>
    <t>PF11</t>
  </si>
  <si>
    <t>Reset_WIFI GPIO Out</t>
  </si>
  <si>
    <t>Switch_WIFI GPIO In</t>
  </si>
  <si>
    <t>ENA1 GPIO Out</t>
  </si>
  <si>
    <t>ENA2 GPIO Out</t>
  </si>
  <si>
    <t>ENA3 GPIO Out</t>
  </si>
  <si>
    <t>USBHS_PWR_EN</t>
  </si>
  <si>
    <t>USBHS_FLT</t>
  </si>
  <si>
    <t>TIM1_ETR  Disabled!</t>
  </si>
  <si>
    <t>TIM1_CH1N  Disabled</t>
  </si>
  <si>
    <t>TIM1 MOT1_PWM</t>
  </si>
  <si>
    <t>TIM1_CH2N  Disabled!</t>
  </si>
  <si>
    <t>TIM1 MOT2_PWM</t>
  </si>
  <si>
    <t>TIM1_CH3N Disabled!</t>
  </si>
  <si>
    <t>TIM1 MOT3_PWM</t>
  </si>
  <si>
    <t>Boot_WIFI GPIO Out</t>
  </si>
  <si>
    <t>(R) TIM1 BREAK IN</t>
  </si>
  <si>
    <t>DBG/Boot UART3TX</t>
  </si>
  <si>
    <t>DBG/Boot UART3RX</t>
  </si>
  <si>
    <t>(R) USB HS ID Disabled!!!</t>
  </si>
  <si>
    <t>PB13*</t>
  </si>
  <si>
    <t>USB_OTG_HS_VBUS</t>
  </si>
  <si>
    <t>(R) USB HS VBUS</t>
  </si>
  <si>
    <t>PB14*</t>
  </si>
  <si>
    <t>USB_OTG_HS_DM</t>
  </si>
  <si>
    <t>(R) USB HS DM</t>
  </si>
  <si>
    <t>PB15*</t>
  </si>
  <si>
    <t>USB_OTG_HS_DP</t>
  </si>
  <si>
    <t>(R) USB HS DP</t>
  </si>
  <si>
    <t>PD8</t>
  </si>
  <si>
    <t>AccelInt2 GPIO In</t>
  </si>
  <si>
    <t>PD9</t>
  </si>
  <si>
    <t>BATT MCU AUX 1WIRE Disabled!</t>
  </si>
  <si>
    <t>PD10</t>
  </si>
  <si>
    <t>BATT MCUAUX 1WIRE Disabled!</t>
  </si>
  <si>
    <t>(R) DEBUG UART3 CTS</t>
  </si>
  <si>
    <t>(R) DEBUG UART3 RTS</t>
  </si>
  <si>
    <t>MOT1_EN_DIAG1 GPIO In</t>
  </si>
  <si>
    <t>MOT2_EN_DIAG GPIO In</t>
  </si>
  <si>
    <t>MOT3_EN_DIAG GPIO In</t>
  </si>
  <si>
    <t>DIR1A GPIO Out</t>
  </si>
  <si>
    <t>DIR1B GPIO Out</t>
  </si>
  <si>
    <t>PG4</t>
  </si>
  <si>
    <t>DIR2A GPIO Out</t>
  </si>
  <si>
    <t>PG5</t>
  </si>
  <si>
    <t>DIR2B GPIO Out</t>
  </si>
  <si>
    <t>PG6</t>
  </si>
  <si>
    <t>DIR3A GPIO Out</t>
  </si>
  <si>
    <t>PG7</t>
  </si>
  <si>
    <t>DIR3B GPIO Out</t>
  </si>
  <si>
    <t>TIM8_CH1</t>
  </si>
  <si>
    <t>TIM8 ENC3A QEI</t>
  </si>
  <si>
    <t>TIM8_CH2</t>
  </si>
  <si>
    <t>TIM8 ENC3B QEI</t>
  </si>
  <si>
    <t>SDMMC1_D0</t>
  </si>
  <si>
    <t>SD CARD D0</t>
  </si>
  <si>
    <t>SDMMC1_D1</t>
  </si>
  <si>
    <t>SD CARD D1</t>
  </si>
  <si>
    <t>PA8</t>
  </si>
  <si>
    <t>RCC_MCO_1</t>
  </si>
  <si>
    <t>(R) CLOCK OUT</t>
  </si>
  <si>
    <t>PA9</t>
  </si>
  <si>
    <t>USB_OTG_FS_VBUS</t>
  </si>
  <si>
    <t>(R) USB FS VBUS</t>
  </si>
  <si>
    <t>PA10*</t>
  </si>
  <si>
    <t>USB_OTG_FS_ID</t>
  </si>
  <si>
    <t>PA11</t>
  </si>
  <si>
    <t>USB_OTG_FS_DM</t>
  </si>
  <si>
    <t>(R) USB FS DM</t>
  </si>
  <si>
    <t>PA12</t>
  </si>
  <si>
    <t>USB_OTG_FS_DP</t>
  </si>
  <si>
    <t>(R) USB FS DP</t>
  </si>
  <si>
    <t>PA13</t>
  </si>
  <si>
    <t>SYS_JTMS-SWDIO</t>
  </si>
  <si>
    <t>DEBUG SWDIO</t>
  </si>
  <si>
    <t>PA14</t>
  </si>
  <si>
    <t>SYS_JTCK-SWCLK</t>
  </si>
  <si>
    <t>DEBUG SWD CLK</t>
  </si>
  <si>
    <t>SYS_JTDI</t>
  </si>
  <si>
    <t>SDMMC1_D2</t>
  </si>
  <si>
    <t>SD CARD D2</t>
  </si>
  <si>
    <t>SDMMC1_D3</t>
  </si>
  <si>
    <t>SD CARD D3</t>
  </si>
  <si>
    <t>SDMMC1_CK</t>
  </si>
  <si>
    <t>SD CARD CLK</t>
  </si>
  <si>
    <t>(R) CAN1 RX</t>
  </si>
  <si>
    <t>(R) CAN1 TX</t>
  </si>
  <si>
    <t>SDMMC1_CMD</t>
  </si>
  <si>
    <t>SD CARD CMD</t>
  </si>
  <si>
    <t>PD3*</t>
  </si>
  <si>
    <t>WIFI UART2CTS</t>
  </si>
  <si>
    <t>PD4*</t>
  </si>
  <si>
    <t>WIFI UART2RTS</t>
  </si>
  <si>
    <t>WIFI UART2TX</t>
  </si>
  <si>
    <t>WIFI UART2RX</t>
  </si>
  <si>
    <t>AccelInt1 GPIO In</t>
  </si>
  <si>
    <t>AUX USART6RX</t>
  </si>
  <si>
    <t>PG12*</t>
  </si>
  <si>
    <t>AUX USART6RTS</t>
  </si>
  <si>
    <t>PG13*</t>
  </si>
  <si>
    <t>AUX USART6CTS</t>
  </si>
  <si>
    <t>AUX USART6TX</t>
  </si>
  <si>
    <t>PG15</t>
  </si>
  <si>
    <t>BOOT0_GPIO</t>
  </si>
  <si>
    <t>SYS_JTDO-SWO</t>
  </si>
  <si>
    <t>DEBUG SWO</t>
  </si>
  <si>
    <t>TIM3 ENC1A QEI</t>
  </si>
  <si>
    <t>TIM3 ENC1B QEI</t>
  </si>
  <si>
    <t>TIM4 ENC2A QEI</t>
  </si>
  <si>
    <t>PB7</t>
  </si>
  <si>
    <t>TIM4 ENC2B QEI</t>
  </si>
  <si>
    <t>BUZZER PWM</t>
  </si>
  <si>
    <t>(R) PWM</t>
  </si>
  <si>
    <t>UART8_RX</t>
  </si>
  <si>
    <t>PEN UART8RX</t>
  </si>
  <si>
    <t>PE1</t>
  </si>
  <si>
    <t>UART8_TX</t>
  </si>
  <si>
    <t>(R) PEN UART8TX</t>
  </si>
  <si>
    <t>NC_TIM11_CH1</t>
  </si>
  <si>
    <t>NC_UART8_TX</t>
  </si>
  <si>
    <t>NC_SPI5_NSS</t>
  </si>
  <si>
    <t>SD_CARD_WP_GPIOIN</t>
  </si>
  <si>
    <t>SD_CARD_CD_GPIOIN</t>
  </si>
  <si>
    <t>(SYS) BOOT1_GPIOIN</t>
  </si>
  <si>
    <t>USBHS_FLT_GPIOIN</t>
  </si>
  <si>
    <t>TIM1_CH1_MOT1_PWM</t>
  </si>
  <si>
    <t>TIM1_CH2_MOT2_PWM</t>
  </si>
  <si>
    <t>TIM1_CH3_MOT3_PWM</t>
  </si>
  <si>
    <t>SYS_JTDI_Disabled!</t>
  </si>
  <si>
    <t>BOOT0_GPIOIN</t>
  </si>
  <si>
    <t>UART8_RX_PEN</t>
  </si>
  <si>
    <t>TIM10_CH1_BUZZER</t>
  </si>
  <si>
    <t>TIM3_CH1_ENC1A</t>
  </si>
  <si>
    <t>TIM3_CH2_ENC1B</t>
  </si>
  <si>
    <t>TIM4_CH1_ENC2A</t>
  </si>
  <si>
    <t>TIM4_CH2_ENC2B</t>
  </si>
  <si>
    <t>TIM8_CH2 ENC3B</t>
  </si>
  <si>
    <t>NotConn</t>
  </si>
  <si>
    <t>otg</t>
  </si>
  <si>
    <t>DIR3A GPIO OUT</t>
  </si>
  <si>
    <t>DIR2B GPIO OUT</t>
  </si>
  <si>
    <t>T2_CH1_ENC4_A</t>
  </si>
  <si>
    <t>SWO/T2_CH2_ENC4_B</t>
  </si>
  <si>
    <t>NOT AVAIL (ETH)</t>
  </si>
  <si>
    <t>NOT AVAIL (USB)</t>
  </si>
  <si>
    <t>PA4_GPIOOUT_EN HES_Regulator Shdn_CS (Default Out=0)</t>
  </si>
  <si>
    <t>Not Connected</t>
  </si>
  <si>
    <t>NOT AVAIL (OVERCURRENT Nucleo)</t>
  </si>
  <si>
    <t>BOOT1 Pull Down</t>
  </si>
  <si>
    <t>5V</t>
  </si>
  <si>
    <t>3V3</t>
  </si>
  <si>
    <t>Dbiker</t>
  </si>
  <si>
    <t>SPI -VCCPWR</t>
  </si>
  <si>
    <t>BUTTON</t>
  </si>
  <si>
    <t>DOUT_SEL1_0</t>
  </si>
  <si>
    <t>DOUT SEL 1_1</t>
  </si>
  <si>
    <t>DOUT SEL 1_2</t>
  </si>
  <si>
    <t>DOUT SEL 1_3</t>
  </si>
  <si>
    <t>DOUT SEL 1_4</t>
  </si>
  <si>
    <t>RX8_HS_FTDI232H</t>
  </si>
  <si>
    <t>TX8_HS FTDI232H</t>
  </si>
  <si>
    <t>DOUT SEL 1_5</t>
  </si>
  <si>
    <t>DOUT SEL 1_6</t>
  </si>
  <si>
    <t>ETH</t>
  </si>
  <si>
    <t>Led GREEN</t>
  </si>
  <si>
    <t>TIM4_CH1 ENC2A</t>
  </si>
  <si>
    <t>TIM4_CH2 ENC2B</t>
  </si>
  <si>
    <t>USB</t>
  </si>
  <si>
    <t>SEL2_0</t>
  </si>
  <si>
    <t>SEL2_1</t>
  </si>
  <si>
    <t>SEL2_2</t>
  </si>
  <si>
    <t>SEL2_4</t>
  </si>
  <si>
    <t>SEL2_5</t>
  </si>
  <si>
    <t>SEL2_3</t>
  </si>
  <si>
    <t>Led RED</t>
  </si>
  <si>
    <t>INDEX ENC2</t>
  </si>
  <si>
    <t>USART3TX to USBVCP</t>
  </si>
  <si>
    <t>USART3RX to USBVCP</t>
  </si>
  <si>
    <t>NUCLEO CONNECTORS</t>
  </si>
  <si>
    <t>Num</t>
  </si>
  <si>
    <t>FUNCTION</t>
  </si>
  <si>
    <t>Selector</t>
  </si>
  <si>
    <t>Use    3= PCB4,    4=MOTORE,    5=Dbiker</t>
  </si>
  <si>
    <t>CN11</t>
  </si>
  <si>
    <t>CN12</t>
  </si>
  <si>
    <t>SPI4_NSS</t>
  </si>
  <si>
    <t>I2C2SDA</t>
  </si>
  <si>
    <t>I2C2_SMBA</t>
  </si>
  <si>
    <t>ADC3_IN15</t>
  </si>
  <si>
    <t>SPI5_NSS,Uart7RX</t>
  </si>
  <si>
    <t>SPI5_SCK, UART7_TX</t>
  </si>
  <si>
    <t>ADC3_IN4</t>
  </si>
  <si>
    <t>ADC3_IN5</t>
  </si>
  <si>
    <t>SPI5_MISO, UART7_RTS</t>
  </si>
  <si>
    <t>ADC3_IN6</t>
  </si>
  <si>
    <t>SPI5_MOSI_UART7_CTS</t>
  </si>
  <si>
    <t>ADC3_IN7</t>
  </si>
  <si>
    <t>OTG_HS_ULPI</t>
  </si>
  <si>
    <t>SPI2_MOSI</t>
  </si>
  <si>
    <t>SPI2_MISO</t>
  </si>
  <si>
    <t>ADC123_IN11</t>
  </si>
  <si>
    <t>ADC3_IN8</t>
  </si>
  <si>
    <t>UART4_TX, USART2_CTS</t>
  </si>
  <si>
    <t>ADC123_IN0</t>
  </si>
  <si>
    <t>ADC123_IN1</t>
  </si>
  <si>
    <t>UART4_RX, USART2_RTS</t>
  </si>
  <si>
    <t>ADC123_2</t>
  </si>
  <si>
    <t>USART2_CK, SPI1_NSS, SPI3_NSS</t>
  </si>
  <si>
    <t>ADC12_IN4, DAC1</t>
  </si>
  <si>
    <t>ADC12_IN5, DAC2</t>
  </si>
  <si>
    <t>ADC12_IN6</t>
  </si>
  <si>
    <t>OTG_HS_ULPI_CK</t>
  </si>
  <si>
    <t>OTG_HS_SOF</t>
  </si>
  <si>
    <t>OTG_HSULPI_D0</t>
  </si>
  <si>
    <t>ADC12_IN7</t>
  </si>
  <si>
    <t>SPI1_MOSI</t>
  </si>
  <si>
    <t>ADC12_IN14</t>
  </si>
  <si>
    <t>ADC12_IN15</t>
  </si>
  <si>
    <t>ADC12_IN8</t>
  </si>
  <si>
    <t>UART4_CTS</t>
  </si>
  <si>
    <t>OTG_HS_ULPI_D1</t>
  </si>
  <si>
    <t>OTG_HS_ULPI_D2</t>
  </si>
  <si>
    <t>SPI3_MOSI</t>
  </si>
  <si>
    <t>I2C4_SMBA</t>
  </si>
  <si>
    <t>I2C4_SCL</t>
  </si>
  <si>
    <t>I2C4_SDA</t>
  </si>
  <si>
    <t>UART7_RX</t>
  </si>
  <si>
    <t>UART7_TX</t>
  </si>
  <si>
    <t>UART7_RTS</t>
  </si>
  <si>
    <t>UART7_CTS</t>
  </si>
  <si>
    <t>USART3_TX, SPI2_SCK</t>
  </si>
  <si>
    <t>USB_OTG_ULPI_D3</t>
  </si>
  <si>
    <t>USB_HS_ULPI_D4</t>
  </si>
  <si>
    <t>USART3_CK, SPI2_NSS</t>
  </si>
  <si>
    <t>CAN2_RX</t>
  </si>
  <si>
    <t>OTG_HS_ULPI_D5</t>
  </si>
  <si>
    <t>USART3_CTS, SPI2_SCK</t>
  </si>
  <si>
    <t>OTG_HS_ULPI_D6, OTG_VBUS</t>
  </si>
  <si>
    <t>USART3_RTS, SPI2_MISO</t>
  </si>
  <si>
    <t>OTG_HS_DM</t>
  </si>
  <si>
    <t>OTG_HS_DP</t>
  </si>
  <si>
    <t>USART3_CTS, I2C4_SMBA</t>
  </si>
  <si>
    <t>USART3_RTS, I2C4_SCL</t>
  </si>
  <si>
    <t>UART8_CTS</t>
  </si>
  <si>
    <t>UART8_RTS</t>
  </si>
  <si>
    <t>USART6_RTS, SPI6_NSS</t>
  </si>
  <si>
    <t>SDMMC_D6</t>
  </si>
  <si>
    <t>SDMMC_D7</t>
  </si>
  <si>
    <t>SDMMC_D1</t>
  </si>
  <si>
    <t>USART6_CK, I2C3_SDA</t>
  </si>
  <si>
    <t>UART5_RTS, USART6_CK</t>
  </si>
  <si>
    <t>USART1_CK, I2C3_SCL</t>
  </si>
  <si>
    <t>USB_FS_VBUS</t>
  </si>
  <si>
    <t>USART1_TX, SPI2_SCK, I2C3_SMBA</t>
  </si>
  <si>
    <t>SWDIO</t>
  </si>
  <si>
    <t>SWDCLK</t>
  </si>
  <si>
    <t>SPI1_NSS, SPI3_NSS, UART4_RTS</t>
  </si>
  <si>
    <t>UART4_TX, USART3_TX, SPI3_SCK</t>
  </si>
  <si>
    <t>USART3_RX, UART4_RX, SPI3_MISO
UART4_RX</t>
  </si>
  <si>
    <t>UART5_TX, USART3_CK, SPI3_MOSI</t>
  </si>
  <si>
    <t>USART2_CTS,SPI2_SCK</t>
  </si>
  <si>
    <t>USART2_RX, SPI3_MOSI</t>
  </si>
  <si>
    <t>USART6_RTS, SPI6_MISO</t>
  </si>
  <si>
    <t>USART6_CTS, SPI6_SCK</t>
  </si>
  <si>
    <t>USART6_TX, SPI6_MOSI</t>
  </si>
  <si>
    <t>SPI1_SCK, SPI3_SCK</t>
  </si>
  <si>
    <t>SPI1_MISO, SPI3_MISO, SPI2_NSS</t>
  </si>
  <si>
    <t>OTG_HS_ULPI_D7</t>
  </si>
  <si>
    <t>SPI1_MOSI, SPI3_MOSI, I2C1_SMBA</t>
  </si>
  <si>
    <t>USART1_TX, I2C1_SCL</t>
  </si>
  <si>
    <t>CAN2_TX</t>
  </si>
  <si>
    <t>USART1_RX, I2C1_SDA</t>
  </si>
  <si>
    <t>CAN1_RX, SDMMC_D4</t>
  </si>
  <si>
    <t>I2C1_SDA, SPI2_NSS</t>
  </si>
  <si>
    <t>CAN1_TX, SDMMC_D5</t>
  </si>
  <si>
    <t>ADC CAN SD</t>
  </si>
  <si>
    <t>USART I2C SPI</t>
  </si>
  <si>
    <t>PCB v4</t>
  </si>
  <si>
    <t>MOTORE</t>
  </si>
  <si>
    <t>ProcPin</t>
  </si>
  <si>
    <t>ADC123_IN_10</t>
  </si>
  <si>
    <t>ETH_REF_CLK</t>
  </si>
  <si>
    <t>SPI1_MISO,</t>
  </si>
  <si>
    <t>ETH_CRS_DV</t>
  </si>
  <si>
    <t>ETH_RDX0</t>
  </si>
  <si>
    <t>ETH_RXD1</t>
  </si>
  <si>
    <t>ETH_TXD1</t>
  </si>
  <si>
    <t>TIM8_CH1ENC3A</t>
  </si>
  <si>
    <t>USART1_TX or USB_VBUS</t>
  </si>
  <si>
    <t>USART1_RX or USB_ID</t>
  </si>
  <si>
    <t>USB_FS_DM</t>
  </si>
  <si>
    <t>USB_FS_DP</t>
  </si>
  <si>
    <t>ETH_TX_EN</t>
  </si>
  <si>
    <t>ETH_TXD0</t>
  </si>
  <si>
    <t>SPI1 MOSI</t>
  </si>
  <si>
    <t>SPI1 NSS2</t>
  </si>
  <si>
    <t>SPI1 NSS1</t>
  </si>
  <si>
    <t>3V3 input/output</t>
  </si>
  <si>
    <t>STM1A-Ex</t>
  </si>
  <si>
    <t>STM1A-In</t>
  </si>
  <si>
    <t>STM1B-In</t>
  </si>
  <si>
    <t>STM1B-Ex</t>
  </si>
  <si>
    <t>E5V input</t>
  </si>
  <si>
    <t>Not Connected (LED-RED)</t>
  </si>
  <si>
    <t>T4_CH2_ENC2B (LED-BLUE)</t>
  </si>
  <si>
    <t xml:space="preserve">(BUTTON) (R) RTC OUT </t>
  </si>
  <si>
    <t>INA_M3</t>
  </si>
  <si>
    <t>Not Connected (ADC_AUX)</t>
  </si>
  <si>
    <t>ADC3_IN0_PS_Monitor</t>
  </si>
  <si>
    <t>ADC1_CS_HES_MT3 (HES Sensor)</t>
  </si>
  <si>
    <t>ADC1_CS_HES_MT2 (HES Sensor)</t>
  </si>
  <si>
    <t>ADC1_CS_HES_MT1 (HES Sensor)</t>
  </si>
  <si>
    <t>ADC3_CS_M2 (VNH 5019)</t>
  </si>
  <si>
    <t>ADC3_CS_M3 (VNH5019)</t>
  </si>
  <si>
    <t>ADC3_CS_M1 (VNH5019)</t>
  </si>
  <si>
    <t xml:space="preserve"> Not Connected (ADC_AUX) (Nucleo LED-GREEN)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</si>
</sst>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1"/>
      <name val="Arial"/>
      <family val="2"/>
    </font>
    <font>
      <b/>
      <sz val="7.5"/>
      <color theme="1"/>
      <name val="Arial"/>
      <family val="2"/>
    </font>
    <font>
      <sz val="7"/>
      <color theme="1"/>
      <name val="Arial"/>
      <family val="2"/>
    </font>
    <font>
      <sz val="7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8" fillId="0" borderId="0" applyNumberFormat="0" applyFill="0" applyBorder="0" applyAlignment="0" applyProtection="0"/>
  </cellStyleXfs>
  <cellXfs count="146">
    <xf numFmtId="0" fontId="0" fillId="0" borderId="0" xfId="0"/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2" borderId="2" xfId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top" wrapText="1"/>
    </xf>
    <xf numFmtId="0" fontId="5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3" fillId="2" borderId="5" xfId="1" applyBorder="1" applyAlignment="1">
      <alignment horizontal="center" vertical="center" wrapText="1"/>
    </xf>
    <xf numFmtId="0" fontId="3" fillId="0" borderId="2" xfId="1" applyFill="1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0" fillId="0" borderId="9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8" fillId="0" borderId="4" xfId="2" applyBorder="1" applyAlignment="1">
      <alignment horizontal="center" vertical="center" wrapText="1"/>
    </xf>
    <xf numFmtId="0" fontId="3" fillId="0" borderId="4" xfId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"/>
    </xf>
    <xf numFmtId="0" fontId="4" fillId="0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2" borderId="11" xfId="1" applyFont="1" applyBorder="1" applyAlignment="1">
      <alignment horizontal="center"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0" fillId="2" borderId="12" xfId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2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vertical="center" wrapText="1"/>
    </xf>
    <xf numFmtId="0" fontId="2" fillId="2" borderId="1" xfId="1" applyFont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2" xfId="0" applyFont="1" applyBorder="1" applyAlignment="1">
      <alignment horizontal="left" vertical="center" wrapText="1"/>
    </xf>
    <xf numFmtId="0" fontId="0" fillId="2" borderId="12" xfId="1" applyFont="1" applyBorder="1" applyAlignment="1">
      <alignment horizontal="left" vertical="center" wrapText="1"/>
    </xf>
    <xf numFmtId="0" fontId="4" fillId="0" borderId="2" xfId="0" applyFont="1" applyBorder="1" applyAlignment="1"/>
    <xf numFmtId="0" fontId="4" fillId="0" borderId="0" xfId="0" applyFont="1" applyAlignment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2" xfId="0" applyFont="1" applyFill="1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7" xfId="0" applyFont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" xfId="0" applyFont="1" applyBorder="1" applyAlignment="1">
      <alignment horizontal="left" wrapText="1"/>
    </xf>
    <xf numFmtId="0" fontId="0" fillId="2" borderId="13" xfId="1" applyFont="1" applyBorder="1" applyAlignment="1">
      <alignment horizontal="center" vertical="center" wrapText="1"/>
    </xf>
    <xf numFmtId="0" fontId="4" fillId="0" borderId="2" xfId="0" applyFont="1" applyBorder="1"/>
    <xf numFmtId="0" fontId="0" fillId="2" borderId="0" xfId="1" applyFont="1" applyBorder="1" applyAlignment="1">
      <alignment horizontal="center" vertical="center" wrapText="1"/>
    </xf>
    <xf numFmtId="0" fontId="4" fillId="0" borderId="2" xfId="1" applyFont="1" applyFill="1" applyBorder="1" applyAlignment="1">
      <alignment horizontal="center" vertical="center" wrapText="1"/>
    </xf>
    <xf numFmtId="0" fontId="4" fillId="0" borderId="4" xfId="1" applyFont="1" applyFill="1" applyBorder="1" applyAlignment="1">
      <alignment horizontal="center"/>
    </xf>
    <xf numFmtId="0" fontId="4" fillId="2" borderId="6" xfId="1" applyFont="1" applyBorder="1" applyAlignment="1">
      <alignment horizontal="center"/>
    </xf>
    <xf numFmtId="0" fontId="4" fillId="2" borderId="2" xfId="1" applyFont="1" applyBorder="1" applyAlignment="1">
      <alignment horizontal="center"/>
    </xf>
    <xf numFmtId="0" fontId="4" fillId="2" borderId="2" xfId="1" applyFont="1" applyBorder="1" applyAlignment="1">
      <alignment vertical="center" wrapText="1"/>
    </xf>
    <xf numFmtId="0" fontId="4" fillId="2" borderId="2" xfId="1" applyFont="1" applyBorder="1" applyAlignment="1"/>
    <xf numFmtId="0" fontId="4" fillId="2" borderId="2" xfId="1" applyFont="1" applyBorder="1" applyAlignment="1">
      <alignment horizontal="left"/>
    </xf>
    <xf numFmtId="0" fontId="4" fillId="2" borderId="2" xfId="1" applyFont="1" applyBorder="1" applyAlignment="1">
      <alignment horizontal="center" vertical="center" wrapText="1"/>
    </xf>
    <xf numFmtId="0" fontId="4" fillId="0" borderId="10" xfId="1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left"/>
    </xf>
    <xf numFmtId="0" fontId="4" fillId="0" borderId="0" xfId="0" applyFont="1"/>
    <xf numFmtId="0" fontId="11" fillId="2" borderId="12" xfId="1" applyFont="1" applyBorder="1" applyAlignment="1">
      <alignment horizontal="center" vertical="center" wrapText="1"/>
    </xf>
    <xf numFmtId="0" fontId="4" fillId="0" borderId="2" xfId="0" quotePrefix="1" applyFont="1" applyBorder="1"/>
    <xf numFmtId="0" fontId="4" fillId="0" borderId="6" xfId="1" applyFont="1" applyFill="1" applyBorder="1" applyAlignment="1">
      <alignment horizontal="center" vertical="center" wrapText="1"/>
    </xf>
    <xf numFmtId="0" fontId="4" fillId="0" borderId="4" xfId="1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2" borderId="6" xfId="1" applyFont="1" applyBorder="1" applyAlignment="1">
      <alignment vertical="center" wrapText="1"/>
    </xf>
    <xf numFmtId="0" fontId="4" fillId="2" borderId="6" xfId="1" applyFont="1" applyBorder="1" applyAlignment="1"/>
    <xf numFmtId="0" fontId="4" fillId="2" borderId="6" xfId="1" applyFont="1" applyBorder="1" applyAlignment="1">
      <alignment horizontal="left"/>
    </xf>
    <xf numFmtId="0" fontId="4" fillId="0" borderId="0" xfId="0" applyFont="1" applyBorder="1"/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0" borderId="15" xfId="0" applyBorder="1" applyAlignment="1">
      <alignment horizontal="left"/>
    </xf>
    <xf numFmtId="0" fontId="0" fillId="0" borderId="14" xfId="0" applyBorder="1" applyAlignment="1">
      <alignment horizontal="right"/>
    </xf>
    <xf numFmtId="0" fontId="0" fillId="0" borderId="16" xfId="0" applyBorder="1" applyAlignment="1">
      <alignment horizontal="lef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0" xfId="0" applyBorder="1"/>
    <xf numFmtId="0" fontId="0" fillId="0" borderId="15" xfId="0" applyBorder="1"/>
    <xf numFmtId="0" fontId="12" fillId="0" borderId="0" xfId="0" applyFont="1" applyAlignment="1">
      <alignment horizontal="left"/>
    </xf>
    <xf numFmtId="0" fontId="12" fillId="0" borderId="0" xfId="0" applyFont="1"/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9" xfId="0" applyBorder="1" applyAlignment="1">
      <alignment horizontal="left"/>
    </xf>
    <xf numFmtId="0" fontId="4" fillId="0" borderId="3" xfId="0" applyFont="1" applyFill="1" applyBorder="1" applyAlignment="1">
      <alignment horizontal="center" vertical="center" wrapText="1"/>
    </xf>
    <xf numFmtId="0" fontId="4" fillId="0" borderId="0" xfId="0" applyFont="1" applyBorder="1" applyAlignment="1"/>
    <xf numFmtId="0" fontId="4" fillId="0" borderId="0" xfId="0" applyFont="1" applyFill="1" applyBorder="1" applyAlignment="1">
      <alignment vertical="center" wrapText="1"/>
    </xf>
    <xf numFmtId="0" fontId="4" fillId="3" borderId="12" xfId="1" applyFont="1" applyFill="1" applyBorder="1" applyAlignment="1">
      <alignment vertical="center" wrapText="1"/>
    </xf>
    <xf numFmtId="0" fontId="4" fillId="3" borderId="2" xfId="0" applyFont="1" applyFill="1" applyBorder="1" applyAlignment="1"/>
    <xf numFmtId="0" fontId="4" fillId="3" borderId="3" xfId="0" applyFont="1" applyFill="1" applyBorder="1" applyAlignment="1"/>
    <xf numFmtId="0" fontId="4" fillId="3" borderId="2" xfId="0" applyFont="1" applyFill="1" applyBorder="1" applyAlignment="1">
      <alignment wrapText="1"/>
    </xf>
    <xf numFmtId="0" fontId="4" fillId="3" borderId="2" xfId="0" applyFont="1" applyFill="1" applyBorder="1"/>
    <xf numFmtId="0" fontId="4" fillId="3" borderId="2" xfId="0" quotePrefix="1" applyFont="1" applyFill="1" applyBorder="1" applyAlignment="1"/>
    <xf numFmtId="0" fontId="4" fillId="3" borderId="2" xfId="0" applyFont="1" applyFill="1" applyBorder="1" applyAlignment="1">
      <alignment horizontal="left" vertical="center" wrapText="1"/>
    </xf>
    <xf numFmtId="0" fontId="4" fillId="3" borderId="2" xfId="1" applyFont="1" applyFill="1" applyBorder="1" applyAlignment="1">
      <alignment vertical="center" wrapText="1"/>
    </xf>
    <xf numFmtId="0" fontId="4" fillId="3" borderId="6" xfId="1" applyFont="1" applyFill="1" applyBorder="1" applyAlignment="1">
      <alignment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6" xfId="0" applyFont="1" applyFill="1" applyBorder="1" applyAlignment="1">
      <alignment vertical="center" wrapText="1"/>
    </xf>
    <xf numFmtId="0" fontId="4" fillId="0" borderId="6" xfId="0" applyFont="1" applyFill="1" applyBorder="1" applyAlignment="1">
      <alignment horizontal="left" vertical="center" wrapText="1"/>
    </xf>
    <xf numFmtId="0" fontId="0" fillId="2" borderId="2" xfId="1" applyFont="1" applyBorder="1" applyAlignment="1">
      <alignment horizontal="left" vertical="center" wrapText="1"/>
    </xf>
    <xf numFmtId="0" fontId="0" fillId="0" borderId="0" xfId="0" applyFill="1" applyAlignment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0" borderId="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</cellXfs>
  <cellStyles count="3">
    <cellStyle name="Hyperlink" xfId="2" builtinId="8"/>
    <cellStyle name="Input" xfId="1" builtinId="20"/>
    <cellStyle name="Normal" xfId="0" builtinId="0"/>
  </cellStyles>
  <dxfs count="26"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Arial"/>
        <scheme val="none"/>
      </font>
      <fill>
        <patternFill>
          <fgColor indexed="64"/>
          <bgColor rgb="FFFFFF00"/>
        </patternFill>
      </fill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general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BOARD_CUBEv2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C1:Y144" totalsRowShown="0" headerRowDxfId="25" dataDxfId="24" tableBorderDxfId="23" headerRowCellStyle="Input">
  <autoFilter ref="C1:Y144">
    <filterColumn colId="14">
      <customFilters>
        <customFilter operator="notEqual" val=" "/>
      </customFilters>
    </filterColumn>
  </autoFilter>
  <sortState ref="C2:Y144">
    <sortCondition ref="O1:O144"/>
  </sortState>
  <tableColumns count="23">
    <tableColumn id="1" name="Pin" dataDxfId="22"/>
    <tableColumn id="25" name="CN7" dataDxfId="21"/>
    <tableColumn id="24" name="CN8" dataDxfId="20"/>
    <tableColumn id="23" name="CN9" dataDxfId="19"/>
    <tableColumn id="22" name="CN10" dataDxfId="18"/>
    <tableColumn id="4" name="STM1A-Ex" dataDxfId="17"/>
    <tableColumn id="5" name="STM1A-In" dataDxfId="16"/>
    <tableColumn id="6" name="STM1B-In" dataDxfId="15"/>
    <tableColumn id="7" name="STM1B-Ex" dataDxfId="14"/>
    <tableColumn id="8" name="STM32 pin" dataDxfId="13"/>
    <tableColumn id="9" name="Signal Name" dataDxfId="12"/>
    <tableColumn id="10" name="Function1" dataDxfId="11"/>
    <tableColumn id="2" name="Port" dataDxfId="10"/>
    <tableColumn id="3" name="N" dataDxfId="9"/>
    <tableColumn id="17" name="TIMER" dataDxfId="8"/>
    <tableColumn id="15" name="USART I2C SPI" dataDxfId="7"/>
    <tableColumn id="16" name="USB OTG" dataDxfId="6"/>
    <tableColumn id="14" name="Ethernet Pins" dataDxfId="5"/>
    <tableColumn id="11" name="ADC CAN SD" dataDxfId="4"/>
    <tableColumn id="12" name="otg" dataDxfId="3"/>
    <tableColumn id="13" name="PCB_v4.0 (pin_I/O)" dataDxfId="2"/>
    <tableColumn id="18" name="MOTORE (pin_I/O)" dataDxfId="1"/>
    <tableColumn id="19" name="Dbiker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2"/>
  <sheetViews>
    <sheetView workbookViewId="0">
      <pane ySplit="1" topLeftCell="A2" activePane="bottomLeft" state="frozen"/>
      <selection pane="bottomLeft" activeCell="N55" sqref="N55"/>
    </sheetView>
  </sheetViews>
  <sheetFormatPr defaultColWidth="8.77734375" defaultRowHeight="14.4" x14ac:dyDescent="0.3"/>
  <cols>
    <col min="1" max="1" width="9.33203125" style="2" customWidth="1"/>
    <col min="2" max="2" width="5.77734375" style="15" customWidth="1"/>
    <col min="3" max="3" width="6.33203125" style="24" customWidth="1"/>
    <col min="4" max="4" width="8.77734375" style="2"/>
    <col min="5" max="5" width="8.77734375" style="13"/>
    <col min="6" max="7" width="8.77734375" style="2"/>
    <col min="8" max="8" width="16.109375" style="2" customWidth="1"/>
    <col min="9" max="9" width="13.44140625" style="2" customWidth="1"/>
    <col min="10" max="10" width="26.109375" style="2" customWidth="1"/>
    <col min="11" max="11" width="8.77734375" style="2" customWidth="1"/>
    <col min="12" max="13" width="8.77734375" style="2"/>
  </cols>
  <sheetData>
    <row r="1" spans="1:13" ht="12.45" customHeight="1" x14ac:dyDescent="0.3">
      <c r="A1" s="7" t="s">
        <v>0</v>
      </c>
      <c r="B1" s="17" t="s">
        <v>73</v>
      </c>
      <c r="C1" s="28" t="s">
        <v>72</v>
      </c>
      <c r="D1" s="7" t="s">
        <v>1</v>
      </c>
      <c r="E1" s="16" t="s">
        <v>8</v>
      </c>
      <c r="F1" s="7" t="s">
        <v>9</v>
      </c>
      <c r="G1" s="7" t="s">
        <v>2</v>
      </c>
      <c r="H1" s="7" t="s">
        <v>3</v>
      </c>
      <c r="I1" s="7" t="s">
        <v>4</v>
      </c>
      <c r="J1" s="7" t="s">
        <v>5</v>
      </c>
      <c r="K1" s="7" t="s">
        <v>6</v>
      </c>
      <c r="L1" s="7" t="s">
        <v>7</v>
      </c>
      <c r="M1" s="7" t="s">
        <v>50</v>
      </c>
    </row>
    <row r="2" spans="1:13" x14ac:dyDescent="0.3">
      <c r="A2" s="124" t="s">
        <v>25</v>
      </c>
      <c r="B2" s="15" t="s">
        <v>74</v>
      </c>
      <c r="D2" s="8">
        <v>1</v>
      </c>
      <c r="G2" s="8" t="s">
        <v>10</v>
      </c>
      <c r="H2" s="8" t="s">
        <v>10</v>
      </c>
      <c r="I2" s="8" t="s">
        <v>33</v>
      </c>
      <c r="J2" s="8" t="s">
        <v>33</v>
      </c>
      <c r="K2" s="127" t="s">
        <v>49</v>
      </c>
      <c r="L2" s="9"/>
      <c r="M2" s="9"/>
    </row>
    <row r="3" spans="1:13" x14ac:dyDescent="0.3">
      <c r="A3" s="125"/>
      <c r="B3" s="15" t="s">
        <v>74</v>
      </c>
      <c r="D3" s="8">
        <v>3</v>
      </c>
      <c r="G3" s="8" t="s">
        <v>11</v>
      </c>
      <c r="H3" s="8" t="s">
        <v>11</v>
      </c>
      <c r="I3" s="8" t="s">
        <v>33</v>
      </c>
      <c r="J3" s="8" t="s">
        <v>43</v>
      </c>
      <c r="K3" s="129"/>
      <c r="L3" s="9"/>
      <c r="M3" s="9"/>
    </row>
    <row r="4" spans="1:13" x14ac:dyDescent="0.3">
      <c r="A4" s="125"/>
      <c r="B4" s="15" t="s">
        <v>74</v>
      </c>
      <c r="D4" s="8">
        <v>5</v>
      </c>
      <c r="G4" s="8" t="s">
        <v>12</v>
      </c>
      <c r="H4" s="8" t="s">
        <v>12</v>
      </c>
      <c r="I4" s="8" t="s">
        <v>34</v>
      </c>
      <c r="J4" s="8" t="s">
        <v>12</v>
      </c>
      <c r="K4" s="129"/>
      <c r="L4" s="9"/>
      <c r="M4" s="9"/>
    </row>
    <row r="5" spans="1:13" x14ac:dyDescent="0.3">
      <c r="A5" s="125"/>
      <c r="B5" s="15" t="s">
        <v>74</v>
      </c>
      <c r="D5" s="8">
        <v>7</v>
      </c>
      <c r="G5" s="8" t="s">
        <v>13</v>
      </c>
      <c r="H5" s="8" t="s">
        <v>13</v>
      </c>
      <c r="I5" s="8" t="s">
        <v>33</v>
      </c>
      <c r="J5" s="8" t="s">
        <v>44</v>
      </c>
      <c r="K5" s="129"/>
      <c r="L5" s="9"/>
      <c r="M5" s="9"/>
    </row>
    <row r="6" spans="1:13" x14ac:dyDescent="0.3">
      <c r="A6" s="125"/>
      <c r="B6" s="15" t="s">
        <v>74</v>
      </c>
      <c r="D6" s="8">
        <v>9</v>
      </c>
      <c r="G6" s="8" t="s">
        <v>14</v>
      </c>
      <c r="H6" s="8" t="s">
        <v>14</v>
      </c>
      <c r="I6" s="8" t="s">
        <v>33</v>
      </c>
      <c r="J6" s="8" t="s">
        <v>45</v>
      </c>
      <c r="K6" s="129"/>
      <c r="L6" s="9"/>
      <c r="M6" s="9"/>
    </row>
    <row r="7" spans="1:13" x14ac:dyDescent="0.3">
      <c r="A7" s="125"/>
      <c r="B7" s="15" t="s">
        <v>74</v>
      </c>
      <c r="D7" s="8">
        <v>11</v>
      </c>
      <c r="G7" s="8" t="s">
        <v>15</v>
      </c>
      <c r="H7" s="8" t="s">
        <v>15</v>
      </c>
      <c r="I7" s="8" t="s">
        <v>33</v>
      </c>
      <c r="J7" s="8" t="s">
        <v>46</v>
      </c>
      <c r="K7" s="129"/>
      <c r="L7" s="9"/>
      <c r="M7" s="9"/>
    </row>
    <row r="8" spans="1:13" x14ac:dyDescent="0.3">
      <c r="A8" s="125"/>
      <c r="B8" s="15" t="s">
        <v>74</v>
      </c>
      <c r="D8" s="8">
        <v>13</v>
      </c>
      <c r="G8" s="8" t="s">
        <v>15</v>
      </c>
      <c r="H8" s="8" t="s">
        <v>15</v>
      </c>
      <c r="I8" s="8" t="s">
        <v>33</v>
      </c>
      <c r="J8" s="8" t="s">
        <v>46</v>
      </c>
      <c r="K8" s="129"/>
      <c r="L8" s="9"/>
      <c r="M8" s="9"/>
    </row>
    <row r="9" spans="1:13" x14ac:dyDescent="0.3">
      <c r="A9" s="125"/>
      <c r="B9" s="15" t="s">
        <v>74</v>
      </c>
      <c r="D9" s="8">
        <v>15</v>
      </c>
      <c r="G9" s="8" t="s">
        <v>16</v>
      </c>
      <c r="H9" s="8" t="s">
        <v>16</v>
      </c>
      <c r="I9" s="8" t="s">
        <v>33</v>
      </c>
      <c r="J9" s="20" t="s">
        <v>47</v>
      </c>
      <c r="K9" s="128"/>
      <c r="L9" s="9"/>
      <c r="M9" s="9"/>
    </row>
    <row r="10" spans="1:13" x14ac:dyDescent="0.3">
      <c r="A10" s="125"/>
      <c r="B10" s="15" t="s">
        <v>74</v>
      </c>
      <c r="D10" s="8">
        <v>2</v>
      </c>
      <c r="G10" s="8" t="s">
        <v>17</v>
      </c>
      <c r="H10" s="8" t="s">
        <v>26</v>
      </c>
      <c r="I10" s="12" t="s">
        <v>35</v>
      </c>
      <c r="J10" s="127" t="s">
        <v>48</v>
      </c>
      <c r="K10" s="133" t="s">
        <v>33</v>
      </c>
      <c r="L10" s="9"/>
      <c r="M10" s="9"/>
    </row>
    <row r="11" spans="1:13" ht="22.8" x14ac:dyDescent="0.3">
      <c r="A11" s="125"/>
      <c r="B11" s="15" t="s">
        <v>74</v>
      </c>
      <c r="D11" s="8">
        <v>4</v>
      </c>
      <c r="G11" s="8" t="s">
        <v>18</v>
      </c>
      <c r="H11" s="8" t="s">
        <v>27</v>
      </c>
      <c r="I11" s="12" t="s">
        <v>36</v>
      </c>
      <c r="J11" s="129"/>
      <c r="K11" s="134"/>
      <c r="L11" s="9"/>
      <c r="M11" s="9"/>
    </row>
    <row r="12" spans="1:13" x14ac:dyDescent="0.3">
      <c r="A12" s="125"/>
      <c r="B12" s="15" t="s">
        <v>74</v>
      </c>
      <c r="D12" s="8">
        <v>6</v>
      </c>
      <c r="G12" s="8" t="s">
        <v>19</v>
      </c>
      <c r="H12" s="8" t="s">
        <v>28</v>
      </c>
      <c r="I12" s="12" t="s">
        <v>37</v>
      </c>
      <c r="J12" s="129"/>
      <c r="K12" s="134"/>
      <c r="L12" s="9"/>
      <c r="M12" s="9"/>
    </row>
    <row r="13" spans="1:13" ht="15.45" customHeight="1" x14ac:dyDescent="0.3">
      <c r="A13" s="125"/>
      <c r="B13" s="15" t="s">
        <v>74</v>
      </c>
      <c r="D13" s="8">
        <v>8</v>
      </c>
      <c r="G13" s="8" t="s">
        <v>20</v>
      </c>
      <c r="H13" s="8" t="s">
        <v>29</v>
      </c>
      <c r="I13" s="12" t="s">
        <v>38</v>
      </c>
      <c r="J13" s="129"/>
      <c r="K13" s="134"/>
      <c r="L13" s="9"/>
      <c r="M13" s="9"/>
    </row>
    <row r="14" spans="1:13" x14ac:dyDescent="0.3">
      <c r="A14" s="125"/>
      <c r="B14" s="15" t="s">
        <v>74</v>
      </c>
      <c r="D14" s="8">
        <v>10</v>
      </c>
      <c r="G14" s="8" t="s">
        <v>21</v>
      </c>
      <c r="H14" s="8" t="s">
        <v>30</v>
      </c>
      <c r="I14" s="12" t="s">
        <v>39</v>
      </c>
      <c r="J14" s="129"/>
      <c r="K14" s="134"/>
      <c r="L14" s="9"/>
      <c r="M14" s="9"/>
    </row>
    <row r="15" spans="1:13" x14ac:dyDescent="0.3">
      <c r="A15" s="125"/>
      <c r="B15" s="15" t="s">
        <v>74</v>
      </c>
      <c r="D15" s="8">
        <v>12</v>
      </c>
      <c r="G15" s="8" t="s">
        <v>22</v>
      </c>
      <c r="H15" s="8" t="s">
        <v>31</v>
      </c>
      <c r="I15" s="12" t="s">
        <v>40</v>
      </c>
      <c r="J15" s="128"/>
      <c r="K15" s="134"/>
      <c r="L15" s="9"/>
      <c r="M15" s="9"/>
    </row>
    <row r="16" spans="1:13" x14ac:dyDescent="0.3">
      <c r="A16" s="125"/>
      <c r="B16" s="15" t="s">
        <v>74</v>
      </c>
      <c r="D16" s="8">
        <v>14</v>
      </c>
      <c r="G16" s="8" t="s">
        <v>23</v>
      </c>
      <c r="H16" s="8" t="s">
        <v>32</v>
      </c>
      <c r="I16" s="12" t="s">
        <v>41</v>
      </c>
      <c r="J16" s="127" t="s">
        <v>32</v>
      </c>
      <c r="K16" s="134"/>
      <c r="L16" s="9"/>
      <c r="M16" s="9"/>
    </row>
    <row r="17" spans="1:13" x14ac:dyDescent="0.3">
      <c r="A17" s="126"/>
      <c r="B17" s="15" t="s">
        <v>74</v>
      </c>
      <c r="D17" s="8">
        <v>16</v>
      </c>
      <c r="G17" s="8" t="s">
        <v>24</v>
      </c>
      <c r="H17" s="8" t="s">
        <v>32</v>
      </c>
      <c r="I17" s="12" t="s">
        <v>42</v>
      </c>
      <c r="J17" s="128"/>
      <c r="K17" s="135"/>
      <c r="L17" s="9"/>
      <c r="M17" s="9"/>
    </row>
    <row r="18" spans="1:13" x14ac:dyDescent="0.3">
      <c r="A18" s="130" t="s">
        <v>71</v>
      </c>
      <c r="B18" s="15" t="s">
        <v>74</v>
      </c>
      <c r="D18" s="8">
        <v>1</v>
      </c>
      <c r="G18" s="8" t="s">
        <v>51</v>
      </c>
      <c r="H18" s="8" t="s">
        <v>57</v>
      </c>
      <c r="I18" s="8" t="s">
        <v>58</v>
      </c>
      <c r="J18" s="21" t="s">
        <v>64</v>
      </c>
      <c r="K18" s="127" t="s">
        <v>49</v>
      </c>
    </row>
    <row r="19" spans="1:13" x14ac:dyDescent="0.3">
      <c r="A19" s="131"/>
      <c r="B19" s="15" t="s">
        <v>74</v>
      </c>
      <c r="D19" s="8">
        <v>3</v>
      </c>
      <c r="G19" s="8" t="s">
        <v>52</v>
      </c>
      <c r="H19" s="8" t="s">
        <v>57</v>
      </c>
      <c r="I19" s="8" t="s">
        <v>59</v>
      </c>
      <c r="J19" s="8" t="s">
        <v>65</v>
      </c>
      <c r="K19" s="129"/>
    </row>
    <row r="20" spans="1:13" x14ac:dyDescent="0.3">
      <c r="A20" s="131"/>
      <c r="B20" s="15" t="s">
        <v>74</v>
      </c>
      <c r="D20" s="8">
        <v>5</v>
      </c>
      <c r="G20" s="8" t="s">
        <v>53</v>
      </c>
      <c r="H20" s="8" t="s">
        <v>57</v>
      </c>
      <c r="I20" s="8" t="s">
        <v>60</v>
      </c>
      <c r="J20" s="8" t="s">
        <v>66</v>
      </c>
      <c r="K20" s="129"/>
    </row>
    <row r="21" spans="1:13" x14ac:dyDescent="0.3">
      <c r="A21" s="131"/>
      <c r="B21" s="15" t="s">
        <v>74</v>
      </c>
      <c r="D21" s="8">
        <v>7</v>
      </c>
      <c r="G21" s="8" t="s">
        <v>54</v>
      </c>
      <c r="H21" s="8" t="s">
        <v>57</v>
      </c>
      <c r="I21" s="8" t="s">
        <v>61</v>
      </c>
      <c r="J21" s="8" t="s">
        <v>67</v>
      </c>
      <c r="K21" s="129"/>
    </row>
    <row r="22" spans="1:13" ht="28.8" x14ac:dyDescent="0.3">
      <c r="A22" s="131"/>
      <c r="B22" s="15" t="s">
        <v>74</v>
      </c>
      <c r="D22" s="8">
        <v>9</v>
      </c>
      <c r="G22" s="8" t="s">
        <v>55</v>
      </c>
      <c r="H22" s="8" t="s">
        <v>57</v>
      </c>
      <c r="I22" s="2" t="s">
        <v>63</v>
      </c>
      <c r="J22" s="3" t="s">
        <v>69</v>
      </c>
      <c r="K22" s="129"/>
    </row>
    <row r="23" spans="1:13" ht="28.8" x14ac:dyDescent="0.3">
      <c r="A23" s="131"/>
      <c r="B23" s="15" t="s">
        <v>74</v>
      </c>
      <c r="D23" s="8">
        <v>11</v>
      </c>
      <c r="G23" s="8" t="s">
        <v>56</v>
      </c>
      <c r="H23" s="8" t="s">
        <v>57</v>
      </c>
      <c r="I23" s="2" t="s">
        <v>62</v>
      </c>
      <c r="J23" s="19" t="s">
        <v>70</v>
      </c>
      <c r="K23" s="128"/>
    </row>
    <row r="24" spans="1:13" x14ac:dyDescent="0.3">
      <c r="A24" s="131"/>
      <c r="B24" s="15" t="s">
        <v>74</v>
      </c>
      <c r="D24" s="8">
        <v>13</v>
      </c>
      <c r="G24" s="8" t="s">
        <v>75</v>
      </c>
      <c r="H24" s="8" t="s">
        <v>10</v>
      </c>
      <c r="I24" s="12" t="s">
        <v>33</v>
      </c>
      <c r="J24" s="8" t="s">
        <v>33</v>
      </c>
      <c r="K24" s="136" t="s">
        <v>33</v>
      </c>
    </row>
    <row r="25" spans="1:13" x14ac:dyDescent="0.3">
      <c r="A25" s="131"/>
      <c r="B25" s="15" t="s">
        <v>74</v>
      </c>
      <c r="D25" s="8">
        <v>15</v>
      </c>
      <c r="G25" s="8" t="s">
        <v>76</v>
      </c>
      <c r="H25" s="8" t="s">
        <v>32</v>
      </c>
      <c r="I25" s="12" t="s">
        <v>97</v>
      </c>
      <c r="J25" s="20" t="s">
        <v>32</v>
      </c>
      <c r="K25" s="137"/>
    </row>
    <row r="26" spans="1:13" x14ac:dyDescent="0.3">
      <c r="A26" s="131"/>
      <c r="B26" s="15" t="s">
        <v>74</v>
      </c>
      <c r="D26" s="8">
        <v>17</v>
      </c>
      <c r="G26" s="8" t="s">
        <v>77</v>
      </c>
      <c r="H26" s="8" t="s">
        <v>98</v>
      </c>
      <c r="I26" s="12" t="s">
        <v>99</v>
      </c>
      <c r="J26" s="127" t="s">
        <v>136</v>
      </c>
      <c r="K26" s="137"/>
    </row>
    <row r="27" spans="1:13" x14ac:dyDescent="0.3">
      <c r="A27" s="131"/>
      <c r="B27" s="15" t="s">
        <v>74</v>
      </c>
      <c r="D27" s="8">
        <v>19</v>
      </c>
      <c r="G27" s="8" t="s">
        <v>78</v>
      </c>
      <c r="H27" s="8" t="s">
        <v>100</v>
      </c>
      <c r="I27" s="12" t="s">
        <v>101</v>
      </c>
      <c r="J27" s="129"/>
      <c r="K27" s="137"/>
    </row>
    <row r="28" spans="1:13" x14ac:dyDescent="0.3">
      <c r="A28" s="131"/>
      <c r="B28" s="15" t="s">
        <v>74</v>
      </c>
      <c r="D28" s="8">
        <v>21</v>
      </c>
      <c r="G28" s="8" t="s">
        <v>79</v>
      </c>
      <c r="H28" s="8" t="s">
        <v>102</v>
      </c>
      <c r="I28" s="12" t="s">
        <v>103</v>
      </c>
      <c r="J28" s="128"/>
      <c r="K28" s="137"/>
    </row>
    <row r="29" spans="1:13" x14ac:dyDescent="0.3">
      <c r="A29" s="131"/>
      <c r="B29" s="15" t="s">
        <v>74</v>
      </c>
      <c r="D29" s="8">
        <v>23</v>
      </c>
      <c r="G29" s="8" t="s">
        <v>15</v>
      </c>
      <c r="H29" s="8" t="s">
        <v>15</v>
      </c>
      <c r="I29" s="12" t="s">
        <v>33</v>
      </c>
      <c r="J29" s="21" t="s">
        <v>46</v>
      </c>
      <c r="K29" s="137"/>
    </row>
    <row r="30" spans="1:13" x14ac:dyDescent="0.3">
      <c r="A30" s="131"/>
      <c r="B30" s="15" t="s">
        <v>74</v>
      </c>
      <c r="D30" s="8">
        <v>25</v>
      </c>
      <c r="G30" s="8" t="s">
        <v>80</v>
      </c>
      <c r="H30" s="8" t="s">
        <v>104</v>
      </c>
      <c r="I30" s="12" t="s">
        <v>105</v>
      </c>
      <c r="J30" s="127" t="s">
        <v>137</v>
      </c>
      <c r="K30" s="137"/>
    </row>
    <row r="31" spans="1:13" x14ac:dyDescent="0.3">
      <c r="A31" s="131"/>
      <c r="B31" s="15" t="s">
        <v>74</v>
      </c>
      <c r="D31" s="8">
        <v>27</v>
      </c>
      <c r="G31" s="8" t="s">
        <v>81</v>
      </c>
      <c r="H31" s="8" t="s">
        <v>106</v>
      </c>
      <c r="I31" s="12" t="s">
        <v>107</v>
      </c>
      <c r="J31" s="128"/>
      <c r="K31" s="137"/>
    </row>
    <row r="32" spans="1:13" x14ac:dyDescent="0.3">
      <c r="A32" s="131"/>
      <c r="B32" s="15" t="s">
        <v>74</v>
      </c>
      <c r="D32" s="8">
        <v>29</v>
      </c>
      <c r="G32" s="8" t="s">
        <v>82</v>
      </c>
      <c r="H32" s="8" t="s">
        <v>32</v>
      </c>
      <c r="I32" s="12" t="s">
        <v>108</v>
      </c>
      <c r="J32" s="8" t="s">
        <v>32</v>
      </c>
      <c r="K32" s="137"/>
    </row>
    <row r="33" spans="1:13" x14ac:dyDescent="0.3">
      <c r="A33" s="131"/>
      <c r="B33" s="15" t="s">
        <v>74</v>
      </c>
      <c r="D33" s="8">
        <v>2</v>
      </c>
      <c r="G33" s="8" t="s">
        <v>83</v>
      </c>
      <c r="H33" s="8" t="s">
        <v>109</v>
      </c>
      <c r="I33" s="12" t="s">
        <v>110</v>
      </c>
      <c r="J33" s="127" t="s">
        <v>138</v>
      </c>
      <c r="K33" s="137"/>
    </row>
    <row r="34" spans="1:13" x14ac:dyDescent="0.3">
      <c r="A34" s="131"/>
      <c r="B34" s="15" t="s">
        <v>74</v>
      </c>
      <c r="D34" s="8">
        <v>4</v>
      </c>
      <c r="G34" s="8" t="s">
        <v>84</v>
      </c>
      <c r="H34" s="8" t="s">
        <v>111</v>
      </c>
      <c r="I34" s="12" t="s">
        <v>112</v>
      </c>
      <c r="J34" s="129"/>
      <c r="K34" s="137"/>
    </row>
    <row r="35" spans="1:13" x14ac:dyDescent="0.3">
      <c r="A35" s="131"/>
      <c r="B35" s="15" t="s">
        <v>74</v>
      </c>
      <c r="D35" s="8">
        <v>6</v>
      </c>
      <c r="G35" s="8" t="s">
        <v>85</v>
      </c>
      <c r="H35" s="8" t="s">
        <v>113</v>
      </c>
      <c r="I35" s="12" t="s">
        <v>114</v>
      </c>
      <c r="J35" s="129"/>
      <c r="K35" s="137"/>
    </row>
    <row r="36" spans="1:13" x14ac:dyDescent="0.3">
      <c r="A36" s="131"/>
      <c r="B36" s="15" t="s">
        <v>74</v>
      </c>
      <c r="D36" s="8">
        <v>8</v>
      </c>
      <c r="G36" s="8" t="s">
        <v>86</v>
      </c>
      <c r="H36" s="8" t="s">
        <v>115</v>
      </c>
      <c r="I36" s="12" t="s">
        <v>116</v>
      </c>
      <c r="J36" s="129"/>
      <c r="K36" s="137"/>
    </row>
    <row r="37" spans="1:13" x14ac:dyDescent="0.3">
      <c r="A37" s="131"/>
      <c r="B37" s="15" t="s">
        <v>74</v>
      </c>
      <c r="D37" s="8">
        <v>10</v>
      </c>
      <c r="G37" s="8" t="s">
        <v>87</v>
      </c>
      <c r="H37" s="8" t="s">
        <v>117</v>
      </c>
      <c r="I37" s="12" t="s">
        <v>118</v>
      </c>
      <c r="J37" s="128"/>
      <c r="K37" s="137"/>
    </row>
    <row r="38" spans="1:13" x14ac:dyDescent="0.3">
      <c r="A38" s="131"/>
      <c r="B38" s="15" t="s">
        <v>74</v>
      </c>
      <c r="D38" s="8">
        <v>12</v>
      </c>
      <c r="G38" s="8" t="s">
        <v>15</v>
      </c>
      <c r="H38" s="8" t="s">
        <v>15</v>
      </c>
      <c r="I38" s="12" t="s">
        <v>33</v>
      </c>
      <c r="J38" s="8" t="s">
        <v>46</v>
      </c>
      <c r="K38" s="137"/>
    </row>
    <row r="39" spans="1:13" x14ac:dyDescent="0.3">
      <c r="A39" s="131"/>
      <c r="B39" s="15" t="s">
        <v>74</v>
      </c>
      <c r="D39" s="8">
        <v>14</v>
      </c>
      <c r="G39" s="8" t="s">
        <v>88</v>
      </c>
      <c r="H39" s="8" t="s">
        <v>119</v>
      </c>
      <c r="I39" s="12" t="s">
        <v>120</v>
      </c>
      <c r="J39" s="127" t="s">
        <v>139</v>
      </c>
      <c r="K39" s="137"/>
    </row>
    <row r="40" spans="1:13" x14ac:dyDescent="0.3">
      <c r="A40" s="131"/>
      <c r="B40" s="15" t="s">
        <v>74</v>
      </c>
      <c r="D40" s="8">
        <v>16</v>
      </c>
      <c r="G40" s="8" t="s">
        <v>89</v>
      </c>
      <c r="H40" s="8" t="s">
        <v>121</v>
      </c>
      <c r="I40" s="12" t="s">
        <v>122</v>
      </c>
      <c r="J40" s="129"/>
      <c r="K40" s="137"/>
    </row>
    <row r="41" spans="1:13" x14ac:dyDescent="0.3">
      <c r="A41" s="131"/>
      <c r="B41" s="15" t="s">
        <v>74</v>
      </c>
      <c r="D41" s="8">
        <v>18</v>
      </c>
      <c r="G41" s="8" t="s">
        <v>90</v>
      </c>
      <c r="H41" s="8" t="s">
        <v>123</v>
      </c>
      <c r="I41" s="12" t="s">
        <v>124</v>
      </c>
      <c r="J41" s="129"/>
      <c r="K41" s="137"/>
    </row>
    <row r="42" spans="1:13" x14ac:dyDescent="0.3">
      <c r="A42" s="131"/>
      <c r="B42" s="15" t="s">
        <v>74</v>
      </c>
      <c r="D42" s="8">
        <v>20</v>
      </c>
      <c r="G42" s="8" t="s">
        <v>91</v>
      </c>
      <c r="H42" s="8" t="s">
        <v>125</v>
      </c>
      <c r="I42" s="12" t="s">
        <v>126</v>
      </c>
      <c r="J42" s="128"/>
      <c r="K42" s="137"/>
    </row>
    <row r="43" spans="1:13" x14ac:dyDescent="0.3">
      <c r="A43" s="131"/>
      <c r="B43" s="15" t="s">
        <v>74</v>
      </c>
      <c r="D43" s="8">
        <v>22</v>
      </c>
      <c r="G43" s="8" t="s">
        <v>92</v>
      </c>
      <c r="H43" s="8" t="s">
        <v>127</v>
      </c>
      <c r="I43" s="12" t="s">
        <v>128</v>
      </c>
      <c r="J43" s="127" t="s">
        <v>140</v>
      </c>
      <c r="K43" s="137"/>
    </row>
    <row r="44" spans="1:13" x14ac:dyDescent="0.3">
      <c r="A44" s="131"/>
      <c r="B44" s="15" t="s">
        <v>74</v>
      </c>
      <c r="D44" s="8">
        <v>24</v>
      </c>
      <c r="G44" s="8" t="s">
        <v>93</v>
      </c>
      <c r="H44" s="8" t="s">
        <v>129</v>
      </c>
      <c r="I44" s="12" t="s">
        <v>130</v>
      </c>
      <c r="J44" s="129"/>
      <c r="K44" s="137"/>
    </row>
    <row r="45" spans="1:13" x14ac:dyDescent="0.3">
      <c r="A45" s="131"/>
      <c r="B45" s="15" t="s">
        <v>74</v>
      </c>
      <c r="D45" s="8">
        <v>26</v>
      </c>
      <c r="G45" s="8" t="s">
        <v>94</v>
      </c>
      <c r="H45" s="8" t="s">
        <v>131</v>
      </c>
      <c r="I45" s="12" t="s">
        <v>132</v>
      </c>
      <c r="J45" s="129"/>
      <c r="K45" s="137"/>
    </row>
    <row r="46" spans="1:13" x14ac:dyDescent="0.3">
      <c r="A46" s="131"/>
      <c r="B46" s="15" t="s">
        <v>74</v>
      </c>
      <c r="D46" s="8">
        <v>28</v>
      </c>
      <c r="G46" s="8" t="s">
        <v>95</v>
      </c>
      <c r="H46" s="8" t="s">
        <v>133</v>
      </c>
      <c r="I46" s="12" t="s">
        <v>134</v>
      </c>
      <c r="J46" s="128"/>
      <c r="K46" s="137"/>
    </row>
    <row r="47" spans="1:13" x14ac:dyDescent="0.3">
      <c r="A47" s="132"/>
      <c r="B47" s="15" t="s">
        <v>74</v>
      </c>
      <c r="D47" s="8">
        <v>30</v>
      </c>
      <c r="G47" s="20" t="s">
        <v>96</v>
      </c>
      <c r="H47" s="20" t="s">
        <v>32</v>
      </c>
      <c r="I47" s="26" t="s">
        <v>135</v>
      </c>
      <c r="J47" s="20" t="s">
        <v>32</v>
      </c>
      <c r="K47" s="137"/>
    </row>
    <row r="48" spans="1:13" x14ac:dyDescent="0.3">
      <c r="A48" s="142" t="s">
        <v>177</v>
      </c>
      <c r="B48" s="14"/>
      <c r="C48" s="23" t="s">
        <v>74</v>
      </c>
      <c r="D48" s="8">
        <v>1</v>
      </c>
      <c r="E48" s="18"/>
      <c r="F48" s="25"/>
      <c r="G48" s="8" t="s">
        <v>141</v>
      </c>
      <c r="H48" s="8" t="s">
        <v>142</v>
      </c>
      <c r="I48" s="12" t="s">
        <v>143</v>
      </c>
      <c r="J48" s="127" t="s">
        <v>174</v>
      </c>
      <c r="K48" s="141" t="s">
        <v>33</v>
      </c>
      <c r="L48" s="4"/>
      <c r="M48" s="4"/>
    </row>
    <row r="49" spans="1:11" x14ac:dyDescent="0.3">
      <c r="A49" s="143"/>
      <c r="C49" s="23" t="s">
        <v>74</v>
      </c>
      <c r="D49" s="8">
        <v>3</v>
      </c>
      <c r="F49" s="6"/>
      <c r="G49" s="8" t="s">
        <v>144</v>
      </c>
      <c r="H49" s="8" t="s">
        <v>145</v>
      </c>
      <c r="I49" s="12" t="s">
        <v>146</v>
      </c>
      <c r="J49" s="129"/>
      <c r="K49" s="141"/>
    </row>
    <row r="50" spans="1:11" x14ac:dyDescent="0.3">
      <c r="A50" s="143"/>
      <c r="C50" s="23" t="s">
        <v>74</v>
      </c>
      <c r="D50" s="8">
        <v>5</v>
      </c>
      <c r="F50" s="6"/>
      <c r="G50" s="8" t="s">
        <v>147</v>
      </c>
      <c r="H50" s="8" t="s">
        <v>148</v>
      </c>
      <c r="I50" s="12" t="s">
        <v>149</v>
      </c>
      <c r="J50" s="129"/>
      <c r="K50" s="141"/>
    </row>
    <row r="51" spans="1:11" x14ac:dyDescent="0.3">
      <c r="A51" s="143"/>
      <c r="C51" s="23" t="s">
        <v>74</v>
      </c>
      <c r="D51" s="8">
        <v>7</v>
      </c>
      <c r="F51" s="6"/>
      <c r="G51" s="8" t="s">
        <v>150</v>
      </c>
      <c r="H51" s="8" t="s">
        <v>151</v>
      </c>
      <c r="I51" s="12" t="s">
        <v>152</v>
      </c>
      <c r="J51" s="128"/>
      <c r="K51" s="141"/>
    </row>
    <row r="52" spans="1:11" x14ac:dyDescent="0.3">
      <c r="A52" s="143"/>
      <c r="C52" s="23" t="s">
        <v>74</v>
      </c>
      <c r="D52" s="8">
        <v>9</v>
      </c>
      <c r="F52" s="6"/>
      <c r="G52" s="8" t="s">
        <v>153</v>
      </c>
      <c r="H52" s="8" t="s">
        <v>154</v>
      </c>
      <c r="I52" s="12" t="s">
        <v>155</v>
      </c>
      <c r="J52" s="127" t="s">
        <v>175</v>
      </c>
      <c r="K52" s="141"/>
    </row>
    <row r="53" spans="1:11" x14ac:dyDescent="0.3">
      <c r="A53" s="143"/>
      <c r="C53" s="23" t="s">
        <v>74</v>
      </c>
      <c r="D53" s="8">
        <v>11</v>
      </c>
      <c r="F53" s="6"/>
      <c r="G53" s="8" t="s">
        <v>156</v>
      </c>
      <c r="H53" s="8" t="s">
        <v>157</v>
      </c>
      <c r="I53" s="12" t="s">
        <v>158</v>
      </c>
      <c r="J53" s="129"/>
      <c r="K53" s="141"/>
    </row>
    <row r="54" spans="1:11" ht="22.8" x14ac:dyDescent="0.3">
      <c r="A54" s="143"/>
      <c r="C54" s="23" t="s">
        <v>74</v>
      </c>
      <c r="D54" s="8">
        <v>13</v>
      </c>
      <c r="F54" s="6"/>
      <c r="G54" s="8" t="s">
        <v>159</v>
      </c>
      <c r="H54" s="8" t="s">
        <v>160</v>
      </c>
      <c r="I54" s="12" t="s">
        <v>161</v>
      </c>
      <c r="J54" s="129"/>
      <c r="K54" s="141"/>
    </row>
    <row r="55" spans="1:11" ht="22.8" x14ac:dyDescent="0.3">
      <c r="A55" s="143"/>
      <c r="C55" s="23" t="s">
        <v>74</v>
      </c>
      <c r="D55" s="8">
        <v>15</v>
      </c>
      <c r="F55" s="6"/>
      <c r="G55" s="8" t="s">
        <v>162</v>
      </c>
      <c r="H55" s="8" t="s">
        <v>163</v>
      </c>
      <c r="I55" s="12" t="s">
        <v>164</v>
      </c>
      <c r="J55" s="129"/>
      <c r="K55" s="141"/>
    </row>
    <row r="56" spans="1:11" x14ac:dyDescent="0.3">
      <c r="A56" s="143"/>
      <c r="C56" s="23" t="s">
        <v>74</v>
      </c>
      <c r="D56" s="8">
        <v>17</v>
      </c>
      <c r="F56" s="6"/>
      <c r="G56" s="8" t="s">
        <v>165</v>
      </c>
      <c r="H56" s="8" t="s">
        <v>166</v>
      </c>
      <c r="I56" s="12" t="s">
        <v>167</v>
      </c>
      <c r="J56" s="129"/>
      <c r="K56" s="141"/>
    </row>
    <row r="57" spans="1:11" x14ac:dyDescent="0.3">
      <c r="A57" s="143"/>
      <c r="C57" s="23" t="s">
        <v>74</v>
      </c>
      <c r="D57" s="8">
        <v>19</v>
      </c>
      <c r="F57" s="6"/>
      <c r="G57" s="8" t="s">
        <v>168</v>
      </c>
      <c r="H57" s="8" t="s">
        <v>169</v>
      </c>
      <c r="I57" s="12" t="s">
        <v>170</v>
      </c>
      <c r="J57" s="128"/>
      <c r="K57" s="141"/>
    </row>
    <row r="58" spans="1:11" ht="28.8" x14ac:dyDescent="0.3">
      <c r="A58" s="143"/>
      <c r="C58" s="23" t="s">
        <v>74</v>
      </c>
      <c r="D58" s="8">
        <v>2</v>
      </c>
      <c r="F58" s="6"/>
      <c r="G58" s="20" t="s">
        <v>171</v>
      </c>
      <c r="H58" s="20" t="s">
        <v>172</v>
      </c>
      <c r="I58" s="26" t="s">
        <v>173</v>
      </c>
      <c r="J58" s="20" t="s">
        <v>176</v>
      </c>
      <c r="K58" s="5" t="s">
        <v>49</v>
      </c>
    </row>
    <row r="59" spans="1:11" x14ac:dyDescent="0.3">
      <c r="A59" s="143"/>
      <c r="D59" s="8">
        <v>4</v>
      </c>
      <c r="F59" s="6"/>
      <c r="G59" s="8" t="s">
        <v>178</v>
      </c>
      <c r="H59" s="8" t="s">
        <v>179</v>
      </c>
      <c r="I59" s="12" t="s">
        <v>68</v>
      </c>
      <c r="J59" s="8" t="s">
        <v>198</v>
      </c>
      <c r="K59" s="136" t="s">
        <v>33</v>
      </c>
    </row>
    <row r="60" spans="1:11" x14ac:dyDescent="0.3">
      <c r="A60" s="143"/>
      <c r="D60" s="8">
        <v>6</v>
      </c>
      <c r="F60" s="6"/>
      <c r="G60" s="8" t="s">
        <v>180</v>
      </c>
      <c r="H60" s="8" t="s">
        <v>180</v>
      </c>
      <c r="I60" s="12" t="s">
        <v>33</v>
      </c>
      <c r="J60" s="8" t="s">
        <v>199</v>
      </c>
      <c r="K60" s="137"/>
    </row>
    <row r="61" spans="1:11" x14ac:dyDescent="0.3">
      <c r="A61" s="143"/>
      <c r="D61" s="8">
        <v>8</v>
      </c>
      <c r="F61" s="6"/>
      <c r="G61" s="8" t="s">
        <v>15</v>
      </c>
      <c r="H61" s="8" t="s">
        <v>15</v>
      </c>
      <c r="I61" s="12" t="s">
        <v>33</v>
      </c>
      <c r="J61" s="8" t="s">
        <v>46</v>
      </c>
      <c r="K61" s="137"/>
    </row>
    <row r="62" spans="1:11" x14ac:dyDescent="0.3">
      <c r="A62" s="143"/>
      <c r="D62" s="8">
        <v>10</v>
      </c>
      <c r="F62" s="6"/>
      <c r="G62" s="8" t="s">
        <v>181</v>
      </c>
      <c r="H62" s="8" t="s">
        <v>182</v>
      </c>
      <c r="I62" s="12" t="s">
        <v>183</v>
      </c>
      <c r="J62" s="8" t="s">
        <v>200</v>
      </c>
      <c r="K62" s="137"/>
    </row>
    <row r="63" spans="1:11" x14ac:dyDescent="0.3">
      <c r="A63" s="143"/>
      <c r="D63" s="8">
        <v>12</v>
      </c>
      <c r="F63" s="6"/>
      <c r="G63" s="8" t="s">
        <v>184</v>
      </c>
      <c r="H63" s="8" t="s">
        <v>185</v>
      </c>
      <c r="I63" s="12" t="s">
        <v>186</v>
      </c>
      <c r="J63" s="8" t="s">
        <v>201</v>
      </c>
      <c r="K63" s="137"/>
    </row>
    <row r="64" spans="1:11" ht="22.8" x14ac:dyDescent="0.3">
      <c r="A64" s="143"/>
      <c r="D64" s="8">
        <v>14</v>
      </c>
      <c r="F64" s="6"/>
      <c r="G64" s="8" t="s">
        <v>187</v>
      </c>
      <c r="H64" s="8" t="s">
        <v>188</v>
      </c>
      <c r="I64" s="12" t="s">
        <v>189</v>
      </c>
      <c r="J64" s="8" t="s">
        <v>202</v>
      </c>
      <c r="K64" s="137"/>
    </row>
    <row r="65" spans="1:11" ht="22.8" x14ac:dyDescent="0.3">
      <c r="A65" s="143"/>
      <c r="D65" s="8">
        <v>16</v>
      </c>
      <c r="F65" s="6"/>
      <c r="G65" s="8" t="s">
        <v>190</v>
      </c>
      <c r="H65" s="8" t="s">
        <v>191</v>
      </c>
      <c r="I65" s="12" t="s">
        <v>192</v>
      </c>
      <c r="J65" s="8" t="s">
        <v>203</v>
      </c>
      <c r="K65" s="137"/>
    </row>
    <row r="66" spans="1:11" x14ac:dyDescent="0.3">
      <c r="A66" s="143"/>
      <c r="D66" s="8">
        <v>18</v>
      </c>
      <c r="F66" s="6"/>
      <c r="G66" s="8" t="s">
        <v>193</v>
      </c>
      <c r="H66" s="8" t="s">
        <v>194</v>
      </c>
      <c r="I66" s="12" t="s">
        <v>195</v>
      </c>
      <c r="J66" s="8" t="s">
        <v>204</v>
      </c>
      <c r="K66" s="137"/>
    </row>
    <row r="67" spans="1:11" x14ac:dyDescent="0.3">
      <c r="A67" s="144"/>
      <c r="D67" s="8">
        <v>20</v>
      </c>
      <c r="F67" s="6"/>
      <c r="G67" s="20" t="s">
        <v>196</v>
      </c>
      <c r="H67" s="20" t="s">
        <v>32</v>
      </c>
      <c r="I67" s="26" t="s">
        <v>197</v>
      </c>
      <c r="J67" s="20" t="s">
        <v>33</v>
      </c>
      <c r="K67" s="137"/>
    </row>
    <row r="68" spans="1:11" x14ac:dyDescent="0.3">
      <c r="A68" s="138" t="s">
        <v>306</v>
      </c>
      <c r="D68" s="8">
        <v>1</v>
      </c>
      <c r="F68" s="6"/>
      <c r="G68" s="8" t="s">
        <v>199</v>
      </c>
      <c r="H68" s="8" t="s">
        <v>199</v>
      </c>
      <c r="I68" s="12" t="s">
        <v>33</v>
      </c>
      <c r="J68" s="8" t="s">
        <v>269</v>
      </c>
      <c r="K68" s="137"/>
    </row>
    <row r="69" spans="1:11" x14ac:dyDescent="0.3">
      <c r="A69" s="139"/>
      <c r="D69" s="8">
        <v>3</v>
      </c>
      <c r="F69" s="6"/>
      <c r="G69" s="8" t="s">
        <v>205</v>
      </c>
      <c r="H69" s="8" t="s">
        <v>205</v>
      </c>
      <c r="I69" s="12" t="s">
        <v>33</v>
      </c>
      <c r="J69" s="8" t="s">
        <v>270</v>
      </c>
      <c r="K69" s="137"/>
    </row>
    <row r="70" spans="1:11" x14ac:dyDescent="0.3">
      <c r="A70" s="139"/>
      <c r="D70" s="8">
        <v>5</v>
      </c>
      <c r="F70" s="6"/>
      <c r="G70" s="8" t="s">
        <v>15</v>
      </c>
      <c r="H70" s="8" t="s">
        <v>15</v>
      </c>
      <c r="I70" s="12" t="s">
        <v>33</v>
      </c>
      <c r="J70" s="8" t="s">
        <v>46</v>
      </c>
      <c r="K70" s="137"/>
    </row>
    <row r="71" spans="1:11" x14ac:dyDescent="0.3">
      <c r="A71" s="139"/>
      <c r="D71" s="8">
        <v>7</v>
      </c>
      <c r="F71" s="6"/>
      <c r="G71" s="8" t="s">
        <v>206</v>
      </c>
      <c r="H71" s="8" t="s">
        <v>207</v>
      </c>
      <c r="I71" s="12" t="s">
        <v>208</v>
      </c>
      <c r="J71" s="8" t="s">
        <v>271</v>
      </c>
      <c r="K71" s="137"/>
    </row>
    <row r="72" spans="1:11" x14ac:dyDescent="0.3">
      <c r="A72" s="139"/>
      <c r="D72" s="8">
        <v>9</v>
      </c>
      <c r="F72" s="6"/>
      <c r="G72" s="8" t="s">
        <v>209</v>
      </c>
      <c r="H72" s="8" t="s">
        <v>210</v>
      </c>
      <c r="I72" s="12" t="s">
        <v>211</v>
      </c>
      <c r="J72" s="8" t="s">
        <v>272</v>
      </c>
      <c r="K72" s="137"/>
    </row>
    <row r="73" spans="1:11" x14ac:dyDescent="0.3">
      <c r="A73" s="139"/>
      <c r="D73" s="8">
        <v>11</v>
      </c>
      <c r="F73" s="6"/>
      <c r="G73" s="8" t="s">
        <v>212</v>
      </c>
      <c r="H73" s="8" t="s">
        <v>213</v>
      </c>
      <c r="I73" s="12" t="s">
        <v>214</v>
      </c>
      <c r="J73" s="8" t="s">
        <v>273</v>
      </c>
      <c r="K73" s="137"/>
    </row>
    <row r="74" spans="1:11" x14ac:dyDescent="0.3">
      <c r="A74" s="139"/>
      <c r="D74" s="8">
        <v>13</v>
      </c>
      <c r="F74" s="6"/>
      <c r="G74" s="8" t="s">
        <v>215</v>
      </c>
      <c r="H74" s="8" t="s">
        <v>216</v>
      </c>
      <c r="I74" s="12" t="s">
        <v>217</v>
      </c>
      <c r="J74" s="8" t="s">
        <v>274</v>
      </c>
      <c r="K74" s="137"/>
    </row>
    <row r="75" spans="1:11" x14ac:dyDescent="0.3">
      <c r="A75" s="139"/>
      <c r="D75" s="8">
        <v>15</v>
      </c>
      <c r="F75" s="6"/>
      <c r="G75" s="8" t="s">
        <v>218</v>
      </c>
      <c r="H75" s="8" t="s">
        <v>219</v>
      </c>
      <c r="I75" s="12" t="s">
        <v>220</v>
      </c>
      <c r="J75" s="8" t="s">
        <v>219</v>
      </c>
      <c r="K75" s="137"/>
    </row>
    <row r="76" spans="1:11" x14ac:dyDescent="0.3">
      <c r="A76" s="139"/>
      <c r="D76" s="8">
        <v>17</v>
      </c>
      <c r="F76" s="6"/>
      <c r="G76" s="8" t="s">
        <v>15</v>
      </c>
      <c r="H76" s="8" t="s">
        <v>15</v>
      </c>
      <c r="I76" s="12" t="s">
        <v>33</v>
      </c>
      <c r="J76" s="8" t="s">
        <v>46</v>
      </c>
      <c r="K76" s="137"/>
    </row>
    <row r="77" spans="1:11" x14ac:dyDescent="0.3">
      <c r="A77" s="139"/>
      <c r="D77" s="8">
        <v>19</v>
      </c>
      <c r="F77" s="6"/>
      <c r="G77" s="8" t="s">
        <v>221</v>
      </c>
      <c r="H77" s="8" t="s">
        <v>222</v>
      </c>
      <c r="I77" s="12" t="s">
        <v>223</v>
      </c>
      <c r="J77" s="1"/>
      <c r="K77" s="137"/>
    </row>
    <row r="78" spans="1:11" x14ac:dyDescent="0.3">
      <c r="A78" s="139"/>
      <c r="D78" s="8">
        <v>21</v>
      </c>
      <c r="F78" s="6"/>
      <c r="G78" s="8" t="s">
        <v>224</v>
      </c>
      <c r="H78" s="8" t="s">
        <v>225</v>
      </c>
      <c r="I78" s="12" t="s">
        <v>226</v>
      </c>
      <c r="J78" s="22"/>
      <c r="K78" s="137"/>
    </row>
    <row r="79" spans="1:11" x14ac:dyDescent="0.3">
      <c r="A79" s="139"/>
      <c r="D79" s="8">
        <v>23</v>
      </c>
      <c r="F79" s="6"/>
      <c r="G79" s="8" t="s">
        <v>227</v>
      </c>
      <c r="H79" s="8" t="s">
        <v>228</v>
      </c>
      <c r="I79" s="12" t="s">
        <v>229</v>
      </c>
      <c r="J79" s="8" t="s">
        <v>274</v>
      </c>
      <c r="K79" s="137"/>
    </row>
    <row r="80" spans="1:11" x14ac:dyDescent="0.3">
      <c r="A80" s="139"/>
      <c r="D80" s="8">
        <v>25</v>
      </c>
      <c r="F80" s="6"/>
      <c r="G80" s="8" t="s">
        <v>230</v>
      </c>
      <c r="H80" s="8" t="s">
        <v>231</v>
      </c>
      <c r="I80" s="27" t="s">
        <v>232</v>
      </c>
      <c r="J80" s="10"/>
      <c r="K80" s="137"/>
    </row>
    <row r="81" spans="1:11" x14ac:dyDescent="0.3">
      <c r="A81" s="139"/>
      <c r="D81" s="8">
        <v>27</v>
      </c>
      <c r="F81" s="6"/>
      <c r="G81" s="8" t="s">
        <v>15</v>
      </c>
      <c r="H81" s="8" t="s">
        <v>15</v>
      </c>
      <c r="I81" s="12" t="s">
        <v>33</v>
      </c>
      <c r="J81" s="8" t="s">
        <v>46</v>
      </c>
      <c r="K81" s="137"/>
    </row>
    <row r="82" spans="1:11" x14ac:dyDescent="0.3">
      <c r="A82" s="139"/>
      <c r="D82" s="8">
        <v>29</v>
      </c>
      <c r="F82" s="6"/>
      <c r="G82" s="8" t="s">
        <v>233</v>
      </c>
      <c r="H82" s="8" t="s">
        <v>234</v>
      </c>
      <c r="I82" s="12" t="s">
        <v>235</v>
      </c>
      <c r="J82" s="8" t="s">
        <v>275</v>
      </c>
      <c r="K82" s="137"/>
    </row>
    <row r="83" spans="1:11" x14ac:dyDescent="0.3">
      <c r="A83" s="139"/>
      <c r="D83" s="8">
        <v>31</v>
      </c>
      <c r="F83" s="6"/>
      <c r="G83" s="8" t="s">
        <v>236</v>
      </c>
      <c r="H83" s="8" t="s">
        <v>237</v>
      </c>
      <c r="I83" s="12" t="s">
        <v>238</v>
      </c>
      <c r="J83" s="8" t="s">
        <v>276</v>
      </c>
      <c r="K83" s="137"/>
    </row>
    <row r="84" spans="1:11" x14ac:dyDescent="0.3">
      <c r="A84" s="139"/>
      <c r="D84" s="8">
        <v>33</v>
      </c>
      <c r="F84" s="6"/>
      <c r="G84" s="8" t="s">
        <v>239</v>
      </c>
      <c r="H84" s="8" t="s">
        <v>240</v>
      </c>
      <c r="I84" s="12" t="s">
        <v>241</v>
      </c>
      <c r="J84" s="8" t="s">
        <v>277</v>
      </c>
      <c r="K84" s="145"/>
    </row>
    <row r="85" spans="1:11" x14ac:dyDescent="0.3">
      <c r="A85" s="139"/>
      <c r="D85" s="8">
        <v>2</v>
      </c>
      <c r="F85" s="6"/>
      <c r="G85" s="8" t="s">
        <v>242</v>
      </c>
      <c r="H85" s="8" t="s">
        <v>32</v>
      </c>
      <c r="I85" s="12" t="s">
        <v>243</v>
      </c>
      <c r="J85" s="8" t="s">
        <v>33</v>
      </c>
      <c r="K85" s="127" t="s">
        <v>49</v>
      </c>
    </row>
    <row r="86" spans="1:11" x14ac:dyDescent="0.3">
      <c r="A86" s="139"/>
      <c r="D86" s="8">
        <v>4</v>
      </c>
      <c r="F86" s="6"/>
      <c r="G86" s="8" t="s">
        <v>244</v>
      </c>
      <c r="H86" s="8" t="s">
        <v>245</v>
      </c>
      <c r="I86" s="12" t="s">
        <v>246</v>
      </c>
      <c r="J86" s="8" t="s">
        <v>278</v>
      </c>
      <c r="K86" s="129"/>
    </row>
    <row r="87" spans="1:11" x14ac:dyDescent="0.3">
      <c r="A87" s="139"/>
      <c r="D87" s="8">
        <v>6</v>
      </c>
      <c r="F87" s="6"/>
      <c r="G87" s="8" t="s">
        <v>247</v>
      </c>
      <c r="H87" s="8" t="s">
        <v>248</v>
      </c>
      <c r="I87" s="12" t="s">
        <v>249</v>
      </c>
      <c r="J87" s="8" t="s">
        <v>279</v>
      </c>
      <c r="K87" s="129"/>
    </row>
    <row r="88" spans="1:11" x14ac:dyDescent="0.3">
      <c r="A88" s="139"/>
      <c r="D88" s="8">
        <v>8</v>
      </c>
      <c r="F88" s="6"/>
      <c r="G88" s="8" t="s">
        <v>250</v>
      </c>
      <c r="H88" s="8" t="s">
        <v>32</v>
      </c>
      <c r="I88" s="12" t="s">
        <v>251</v>
      </c>
      <c r="J88" s="8" t="s">
        <v>33</v>
      </c>
      <c r="K88" s="129"/>
    </row>
    <row r="89" spans="1:11" x14ac:dyDescent="0.3">
      <c r="A89" s="139"/>
      <c r="D89" s="8">
        <v>10</v>
      </c>
      <c r="F89" s="6"/>
      <c r="G89" s="8" t="s">
        <v>252</v>
      </c>
      <c r="H89" s="8" t="s">
        <v>253</v>
      </c>
      <c r="I89" s="12" t="s">
        <v>254</v>
      </c>
      <c r="J89" s="8" t="s">
        <v>280</v>
      </c>
      <c r="K89" s="129"/>
    </row>
    <row r="90" spans="1:11" x14ac:dyDescent="0.3">
      <c r="A90" s="139"/>
      <c r="D90" s="8">
        <v>12</v>
      </c>
      <c r="F90" s="6"/>
      <c r="G90" s="8" t="s">
        <v>255</v>
      </c>
      <c r="H90" s="8" t="s">
        <v>32</v>
      </c>
      <c r="I90" s="12" t="s">
        <v>256</v>
      </c>
      <c r="J90" s="8" t="s">
        <v>33</v>
      </c>
      <c r="K90" s="129"/>
    </row>
    <row r="91" spans="1:11" x14ac:dyDescent="0.3">
      <c r="A91" s="139"/>
      <c r="D91" s="8">
        <v>14</v>
      </c>
      <c r="F91" s="6"/>
      <c r="G91" s="8" t="s">
        <v>257</v>
      </c>
      <c r="H91" s="8" t="s">
        <v>258</v>
      </c>
      <c r="I91" s="12" t="s">
        <v>259</v>
      </c>
      <c r="J91" s="11"/>
      <c r="K91" s="129"/>
    </row>
    <row r="92" spans="1:11" x14ac:dyDescent="0.3">
      <c r="A92" s="139"/>
      <c r="D92" s="8">
        <v>16</v>
      </c>
      <c r="F92" s="6"/>
      <c r="G92" s="8" t="s">
        <v>260</v>
      </c>
      <c r="H92" s="8" t="s">
        <v>261</v>
      </c>
      <c r="I92" s="12" t="s">
        <v>262</v>
      </c>
      <c r="J92" s="8" t="s">
        <v>281</v>
      </c>
      <c r="K92" s="128"/>
    </row>
    <row r="93" spans="1:11" x14ac:dyDescent="0.3">
      <c r="A93" s="139"/>
      <c r="D93" s="8">
        <v>18</v>
      </c>
      <c r="F93" s="6"/>
      <c r="G93" s="8" t="s">
        <v>263</v>
      </c>
      <c r="H93" s="8" t="s">
        <v>264</v>
      </c>
      <c r="I93" s="12" t="s">
        <v>265</v>
      </c>
      <c r="J93" s="8" t="s">
        <v>282</v>
      </c>
      <c r="K93" s="133" t="s">
        <v>33</v>
      </c>
    </row>
    <row r="94" spans="1:11" x14ac:dyDescent="0.3">
      <c r="A94" s="139"/>
      <c r="D94" s="8">
        <v>20</v>
      </c>
      <c r="F94" s="6"/>
      <c r="G94" s="8" t="s">
        <v>266</v>
      </c>
      <c r="H94" s="8" t="s">
        <v>267</v>
      </c>
      <c r="I94" s="12" t="s">
        <v>268</v>
      </c>
      <c r="J94" s="8" t="s">
        <v>283</v>
      </c>
      <c r="K94" s="134"/>
    </row>
    <row r="95" spans="1:11" x14ac:dyDescent="0.3">
      <c r="A95" s="139"/>
      <c r="D95" s="8">
        <v>22</v>
      </c>
      <c r="F95" s="6"/>
      <c r="G95" s="20" t="s">
        <v>15</v>
      </c>
      <c r="H95" s="20" t="s">
        <v>15</v>
      </c>
      <c r="I95" s="26" t="s">
        <v>33</v>
      </c>
      <c r="J95" s="20" t="s">
        <v>46</v>
      </c>
      <c r="K95" s="134"/>
    </row>
    <row r="96" spans="1:11" x14ac:dyDescent="0.3">
      <c r="A96" s="139"/>
      <c r="D96" s="8">
        <v>24</v>
      </c>
      <c r="F96" s="6"/>
      <c r="G96" s="12" t="s">
        <v>284</v>
      </c>
      <c r="H96" s="8" t="s">
        <v>290</v>
      </c>
      <c r="I96" s="8" t="s">
        <v>291</v>
      </c>
      <c r="J96" s="8" t="s">
        <v>292</v>
      </c>
      <c r="K96" s="134"/>
    </row>
    <row r="97" spans="1:11" x14ac:dyDescent="0.3">
      <c r="A97" s="139"/>
      <c r="D97" s="8">
        <v>26</v>
      </c>
      <c r="F97" s="6"/>
      <c r="G97" s="12" t="s">
        <v>285</v>
      </c>
      <c r="H97" s="8" t="s">
        <v>293</v>
      </c>
      <c r="I97" s="8" t="s">
        <v>294</v>
      </c>
      <c r="J97" s="8" t="s">
        <v>295</v>
      </c>
      <c r="K97" s="134"/>
    </row>
    <row r="98" spans="1:11" x14ac:dyDescent="0.3">
      <c r="A98" s="139"/>
      <c r="D98" s="8">
        <v>28</v>
      </c>
      <c r="F98" s="6"/>
      <c r="G98" s="12" t="s">
        <v>286</v>
      </c>
      <c r="H98" s="8" t="s">
        <v>32</v>
      </c>
      <c r="I98" s="8" t="s">
        <v>296</v>
      </c>
      <c r="J98" s="8" t="s">
        <v>32</v>
      </c>
      <c r="K98" s="134"/>
    </row>
    <row r="99" spans="1:11" x14ac:dyDescent="0.3">
      <c r="A99" s="139"/>
      <c r="D99" s="8">
        <v>30</v>
      </c>
      <c r="F99" s="6"/>
      <c r="G99" s="12" t="s">
        <v>287</v>
      </c>
      <c r="H99" s="8" t="s">
        <v>297</v>
      </c>
      <c r="I99" s="8" t="s">
        <v>298</v>
      </c>
      <c r="J99" s="8" t="s">
        <v>299</v>
      </c>
      <c r="K99" s="134"/>
    </row>
    <row r="100" spans="1:11" x14ac:dyDescent="0.3">
      <c r="A100" s="139"/>
      <c r="D100" s="8">
        <v>32</v>
      </c>
      <c r="F100" s="6"/>
      <c r="G100" s="12" t="s">
        <v>288</v>
      </c>
      <c r="H100" s="8" t="s">
        <v>300</v>
      </c>
      <c r="I100" s="8" t="s">
        <v>301</v>
      </c>
      <c r="J100" s="8" t="s">
        <v>302</v>
      </c>
      <c r="K100" s="134"/>
    </row>
    <row r="101" spans="1:11" x14ac:dyDescent="0.3">
      <c r="A101" s="140"/>
      <c r="D101" s="8">
        <v>34</v>
      </c>
      <c r="F101" s="6"/>
      <c r="G101" s="12" t="s">
        <v>289</v>
      </c>
      <c r="H101" s="8" t="s">
        <v>303</v>
      </c>
      <c r="I101" s="8" t="s">
        <v>304</v>
      </c>
      <c r="J101" s="8" t="s">
        <v>305</v>
      </c>
      <c r="K101" s="135"/>
    </row>
    <row r="102" spans="1:11" x14ac:dyDescent="0.3">
      <c r="G102" s="4"/>
      <c r="H102" s="4"/>
      <c r="I102" s="4"/>
      <c r="J102" s="4"/>
    </row>
  </sheetData>
  <mergeCells count="21">
    <mergeCell ref="K93:K101"/>
    <mergeCell ref="A68:A101"/>
    <mergeCell ref="J48:J51"/>
    <mergeCell ref="J52:J57"/>
    <mergeCell ref="K48:K57"/>
    <mergeCell ref="A48:A67"/>
    <mergeCell ref="K59:K84"/>
    <mergeCell ref="K2:K9"/>
    <mergeCell ref="K10:K17"/>
    <mergeCell ref="K18:K23"/>
    <mergeCell ref="K24:K47"/>
    <mergeCell ref="K85:K92"/>
    <mergeCell ref="A2:A17"/>
    <mergeCell ref="J16:J17"/>
    <mergeCell ref="J10:J15"/>
    <mergeCell ref="J26:J28"/>
    <mergeCell ref="A18:A47"/>
    <mergeCell ref="J30:J31"/>
    <mergeCell ref="J33:J37"/>
    <mergeCell ref="J39:J42"/>
    <mergeCell ref="J43:J46"/>
  </mergeCells>
  <hyperlinks>
    <hyperlink ref="I80" location="bookmark55" display="bookmark55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0"/>
  <sheetViews>
    <sheetView workbookViewId="0">
      <selection activeCell="E15" sqref="E15"/>
    </sheetView>
  </sheetViews>
  <sheetFormatPr defaultColWidth="11.44140625" defaultRowHeight="14.4" x14ac:dyDescent="0.3"/>
  <cols>
    <col min="1" max="1" width="11.6640625" customWidth="1"/>
    <col min="2" max="2" width="14.6640625" bestFit="1" customWidth="1"/>
    <col min="3" max="3" width="16.109375" bestFit="1" customWidth="1"/>
    <col min="4" max="4" width="25.33203125" bestFit="1" customWidth="1"/>
  </cols>
  <sheetData>
    <row r="1" spans="1:4" x14ac:dyDescent="0.3">
      <c r="A1" t="s">
        <v>495</v>
      </c>
      <c r="B1" t="s">
        <v>496</v>
      </c>
      <c r="C1" t="s">
        <v>497</v>
      </c>
      <c r="D1" t="s">
        <v>498</v>
      </c>
    </row>
    <row r="2" spans="1:4" x14ac:dyDescent="0.3">
      <c r="A2">
        <v>1</v>
      </c>
      <c r="B2" t="s">
        <v>499</v>
      </c>
      <c r="C2" t="s">
        <v>494</v>
      </c>
      <c r="D2" t="s">
        <v>500</v>
      </c>
    </row>
    <row r="3" spans="1:4" x14ac:dyDescent="0.3">
      <c r="A3">
        <v>3</v>
      </c>
      <c r="B3" t="s">
        <v>122</v>
      </c>
      <c r="C3" t="s">
        <v>501</v>
      </c>
      <c r="D3" t="s">
        <v>502</v>
      </c>
    </row>
    <row r="4" spans="1:4" x14ac:dyDescent="0.3">
      <c r="A4">
        <v>4</v>
      </c>
      <c r="B4" t="s">
        <v>124</v>
      </c>
      <c r="C4" t="s">
        <v>503</v>
      </c>
      <c r="D4" t="s">
        <v>504</v>
      </c>
    </row>
    <row r="5" spans="1:4" x14ac:dyDescent="0.3">
      <c r="A5">
        <v>5</v>
      </c>
      <c r="B5" t="s">
        <v>126</v>
      </c>
      <c r="C5" t="s">
        <v>505</v>
      </c>
      <c r="D5" t="s">
        <v>506</v>
      </c>
    </row>
    <row r="6" spans="1:4" x14ac:dyDescent="0.3">
      <c r="A6">
        <v>7</v>
      </c>
      <c r="B6" t="s">
        <v>507</v>
      </c>
      <c r="C6" t="s">
        <v>508</v>
      </c>
      <c r="D6" t="s">
        <v>509</v>
      </c>
    </row>
    <row r="7" spans="1:4" x14ac:dyDescent="0.3">
      <c r="A7">
        <v>8</v>
      </c>
      <c r="B7" t="s">
        <v>510</v>
      </c>
      <c r="C7" t="s">
        <v>511</v>
      </c>
      <c r="D7" t="s">
        <v>512</v>
      </c>
    </row>
    <row r="8" spans="1:4" x14ac:dyDescent="0.3">
      <c r="A8">
        <v>9</v>
      </c>
      <c r="B8" t="s">
        <v>513</v>
      </c>
      <c r="C8" t="s">
        <v>514</v>
      </c>
      <c r="D8" t="s">
        <v>512</v>
      </c>
    </row>
    <row r="9" spans="1:4" x14ac:dyDescent="0.3">
      <c r="A9">
        <v>10</v>
      </c>
      <c r="B9" t="s">
        <v>103</v>
      </c>
      <c r="C9" t="s">
        <v>515</v>
      </c>
      <c r="D9" t="s">
        <v>516</v>
      </c>
    </row>
    <row r="10" spans="1:4" x14ac:dyDescent="0.3">
      <c r="A10">
        <v>11</v>
      </c>
      <c r="B10" t="s">
        <v>101</v>
      </c>
      <c r="C10" t="s">
        <v>517</v>
      </c>
      <c r="D10" t="s">
        <v>518</v>
      </c>
    </row>
    <row r="11" spans="1:4" x14ac:dyDescent="0.3">
      <c r="A11">
        <v>13</v>
      </c>
      <c r="B11" t="s">
        <v>61</v>
      </c>
      <c r="C11" t="s">
        <v>501</v>
      </c>
      <c r="D11" t="s">
        <v>519</v>
      </c>
    </row>
    <row r="12" spans="1:4" x14ac:dyDescent="0.3">
      <c r="A12">
        <v>14</v>
      </c>
      <c r="B12" t="s">
        <v>214</v>
      </c>
      <c r="C12" t="s">
        <v>501</v>
      </c>
      <c r="D12" t="s">
        <v>520</v>
      </c>
    </row>
    <row r="13" spans="1:4" x14ac:dyDescent="0.3">
      <c r="A13">
        <v>15</v>
      </c>
      <c r="B13" t="s">
        <v>521</v>
      </c>
      <c r="C13" t="s">
        <v>501</v>
      </c>
      <c r="D13" t="s">
        <v>522</v>
      </c>
    </row>
    <row r="14" spans="1:4" x14ac:dyDescent="0.3">
      <c r="A14">
        <v>18</v>
      </c>
      <c r="B14" t="s">
        <v>523</v>
      </c>
      <c r="C14" t="s">
        <v>524</v>
      </c>
    </row>
    <row r="15" spans="1:4" x14ac:dyDescent="0.3">
      <c r="A15">
        <v>19</v>
      </c>
      <c r="B15" t="s">
        <v>132</v>
      </c>
      <c r="C15" t="s">
        <v>525</v>
      </c>
      <c r="D15" t="s">
        <v>526</v>
      </c>
    </row>
    <row r="16" spans="1:4" x14ac:dyDescent="0.3">
      <c r="A16">
        <v>20</v>
      </c>
      <c r="B16" t="s">
        <v>130</v>
      </c>
      <c r="C16" t="s">
        <v>527</v>
      </c>
      <c r="D16" t="s">
        <v>528</v>
      </c>
    </row>
    <row r="17" spans="1:4" x14ac:dyDescent="0.3">
      <c r="A17">
        <v>21</v>
      </c>
      <c r="B17" t="s">
        <v>134</v>
      </c>
      <c r="C17" t="s">
        <v>529</v>
      </c>
      <c r="D17" t="s">
        <v>530</v>
      </c>
    </row>
    <row r="18" spans="1:4" x14ac:dyDescent="0.3">
      <c r="A18">
        <v>22</v>
      </c>
      <c r="B18" t="s">
        <v>531</v>
      </c>
      <c r="C18" t="s">
        <v>501</v>
      </c>
      <c r="D18" t="s">
        <v>532</v>
      </c>
    </row>
    <row r="19" spans="1:4" x14ac:dyDescent="0.3">
      <c r="A19">
        <v>23</v>
      </c>
      <c r="B19" t="s">
        <v>533</v>
      </c>
      <c r="C19" t="s">
        <v>534</v>
      </c>
      <c r="D19" t="s">
        <v>535</v>
      </c>
    </row>
    <row r="20" spans="1:4" x14ac:dyDescent="0.3">
      <c r="A20">
        <v>24</v>
      </c>
      <c r="B20" t="s">
        <v>536</v>
      </c>
      <c r="C20" t="s">
        <v>537</v>
      </c>
      <c r="D20" t="s">
        <v>535</v>
      </c>
    </row>
    <row r="21" spans="1:4" x14ac:dyDescent="0.3">
      <c r="A21">
        <v>26</v>
      </c>
      <c r="B21" t="s">
        <v>59</v>
      </c>
      <c r="C21" t="s">
        <v>538</v>
      </c>
      <c r="D21" t="s">
        <v>539</v>
      </c>
    </row>
    <row r="22" spans="1:4" x14ac:dyDescent="0.3">
      <c r="A22">
        <v>27</v>
      </c>
      <c r="B22" t="s">
        <v>540</v>
      </c>
      <c r="C22" t="s">
        <v>541</v>
      </c>
      <c r="D22" t="s">
        <v>542</v>
      </c>
    </row>
    <row r="23" spans="1:4" x14ac:dyDescent="0.3">
      <c r="A23">
        <v>28</v>
      </c>
      <c r="B23" t="s">
        <v>211</v>
      </c>
      <c r="C23" t="s">
        <v>543</v>
      </c>
      <c r="D23" t="s">
        <v>544</v>
      </c>
    </row>
    <row r="24" spans="1:4" x14ac:dyDescent="0.3">
      <c r="A24">
        <v>29</v>
      </c>
      <c r="B24" t="s">
        <v>60</v>
      </c>
      <c r="C24" t="s">
        <v>545</v>
      </c>
      <c r="D24" t="s">
        <v>546</v>
      </c>
    </row>
    <row r="25" spans="1:4" x14ac:dyDescent="0.3">
      <c r="A25">
        <v>34</v>
      </c>
      <c r="B25" t="s">
        <v>547</v>
      </c>
      <c r="C25" t="s">
        <v>548</v>
      </c>
      <c r="D25" t="s">
        <v>549</v>
      </c>
    </row>
    <row r="26" spans="1:4" x14ac:dyDescent="0.3">
      <c r="A26">
        <v>35</v>
      </c>
      <c r="B26" t="s">
        <v>550</v>
      </c>
      <c r="C26" t="s">
        <v>551</v>
      </c>
      <c r="D26" t="s">
        <v>552</v>
      </c>
    </row>
    <row r="27" spans="1:4" x14ac:dyDescent="0.3">
      <c r="A27">
        <v>36</v>
      </c>
      <c r="B27" t="s">
        <v>553</v>
      </c>
      <c r="C27" t="s">
        <v>554</v>
      </c>
      <c r="D27" t="s">
        <v>555</v>
      </c>
    </row>
    <row r="28" spans="1:4" x14ac:dyDescent="0.3">
      <c r="A28">
        <v>37</v>
      </c>
      <c r="B28" t="s">
        <v>58</v>
      </c>
      <c r="C28" t="s">
        <v>556</v>
      </c>
      <c r="D28" t="s">
        <v>557</v>
      </c>
    </row>
    <row r="29" spans="1:4" x14ac:dyDescent="0.3">
      <c r="A29">
        <v>40</v>
      </c>
      <c r="B29" t="s">
        <v>167</v>
      </c>
      <c r="C29" t="s">
        <v>558</v>
      </c>
      <c r="D29" t="s">
        <v>559</v>
      </c>
    </row>
    <row r="30" spans="1:4" x14ac:dyDescent="0.3">
      <c r="A30">
        <v>41</v>
      </c>
      <c r="B30" t="s">
        <v>183</v>
      </c>
      <c r="C30" t="s">
        <v>560</v>
      </c>
      <c r="D30" t="s">
        <v>561</v>
      </c>
    </row>
    <row r="31" spans="1:4" x14ac:dyDescent="0.3">
      <c r="A31">
        <v>42</v>
      </c>
      <c r="B31" t="s">
        <v>186</v>
      </c>
      <c r="C31" t="s">
        <v>562</v>
      </c>
      <c r="D31" t="s">
        <v>563</v>
      </c>
    </row>
    <row r="32" spans="1:4" x14ac:dyDescent="0.3">
      <c r="A32">
        <v>43</v>
      </c>
      <c r="B32" t="s">
        <v>564</v>
      </c>
      <c r="C32" t="s">
        <v>565</v>
      </c>
      <c r="D32" t="s">
        <v>566</v>
      </c>
    </row>
    <row r="33" spans="1:4" x14ac:dyDescent="0.3">
      <c r="A33">
        <v>44</v>
      </c>
      <c r="B33" t="s">
        <v>567</v>
      </c>
      <c r="C33" t="s">
        <v>568</v>
      </c>
      <c r="D33" t="s">
        <v>569</v>
      </c>
    </row>
    <row r="34" spans="1:4" x14ac:dyDescent="0.3">
      <c r="A34">
        <v>45</v>
      </c>
      <c r="B34" t="s">
        <v>570</v>
      </c>
      <c r="C34" t="s">
        <v>571</v>
      </c>
      <c r="D34" t="s">
        <v>572</v>
      </c>
    </row>
    <row r="35" spans="1:4" x14ac:dyDescent="0.3">
      <c r="A35">
        <v>46</v>
      </c>
      <c r="B35" t="s">
        <v>238</v>
      </c>
      <c r="C35" t="s">
        <v>573</v>
      </c>
      <c r="D35" t="s">
        <v>574</v>
      </c>
    </row>
    <row r="36" spans="1:4" x14ac:dyDescent="0.3">
      <c r="A36">
        <v>47</v>
      </c>
      <c r="B36" t="s">
        <v>208</v>
      </c>
      <c r="C36" t="s">
        <v>573</v>
      </c>
      <c r="D36" t="s">
        <v>575</v>
      </c>
    </row>
    <row r="37" spans="1:4" x14ac:dyDescent="0.3">
      <c r="A37">
        <v>48</v>
      </c>
      <c r="B37" t="s">
        <v>220</v>
      </c>
      <c r="C37" t="s">
        <v>573</v>
      </c>
      <c r="D37" t="s">
        <v>576</v>
      </c>
    </row>
    <row r="38" spans="1:4" x14ac:dyDescent="0.3">
      <c r="A38">
        <v>49</v>
      </c>
      <c r="B38" t="s">
        <v>577</v>
      </c>
      <c r="C38" t="s">
        <v>501</v>
      </c>
      <c r="D38" t="s">
        <v>578</v>
      </c>
    </row>
    <row r="39" spans="1:4" x14ac:dyDescent="0.3">
      <c r="A39">
        <v>50</v>
      </c>
      <c r="B39" t="s">
        <v>197</v>
      </c>
      <c r="C39" t="s">
        <v>573</v>
      </c>
      <c r="D39" t="s">
        <v>579</v>
      </c>
    </row>
    <row r="40" spans="1:4" x14ac:dyDescent="0.3">
      <c r="A40">
        <v>53</v>
      </c>
      <c r="B40" t="s">
        <v>243</v>
      </c>
      <c r="C40" t="s">
        <v>501</v>
      </c>
      <c r="D40" t="s">
        <v>580</v>
      </c>
    </row>
    <row r="41" spans="1:4" x14ac:dyDescent="0.3">
      <c r="A41">
        <v>54</v>
      </c>
      <c r="B41" t="s">
        <v>251</v>
      </c>
      <c r="C41" t="s">
        <v>501</v>
      </c>
      <c r="D41" t="s">
        <v>581</v>
      </c>
    </row>
    <row r="42" spans="1:4" x14ac:dyDescent="0.3">
      <c r="A42">
        <v>55</v>
      </c>
      <c r="B42" t="s">
        <v>256</v>
      </c>
      <c r="C42" t="s">
        <v>501</v>
      </c>
      <c r="D42" t="s">
        <v>582</v>
      </c>
    </row>
    <row r="43" spans="1:4" x14ac:dyDescent="0.3">
      <c r="A43">
        <v>56</v>
      </c>
      <c r="B43" t="s">
        <v>108</v>
      </c>
      <c r="C43" t="s">
        <v>501</v>
      </c>
      <c r="D43" t="s">
        <v>583</v>
      </c>
    </row>
    <row r="44" spans="1:4" x14ac:dyDescent="0.3">
      <c r="A44">
        <v>57</v>
      </c>
      <c r="B44" t="s">
        <v>135</v>
      </c>
      <c r="C44" t="s">
        <v>573</v>
      </c>
      <c r="D44" t="s">
        <v>584</v>
      </c>
    </row>
    <row r="45" spans="1:4" x14ac:dyDescent="0.3">
      <c r="A45">
        <v>58</v>
      </c>
      <c r="B45" t="s">
        <v>268</v>
      </c>
      <c r="C45" t="s">
        <v>573</v>
      </c>
      <c r="D45" t="s">
        <v>585</v>
      </c>
    </row>
    <row r="46" spans="1:4" x14ac:dyDescent="0.3">
      <c r="A46">
        <v>59</v>
      </c>
      <c r="B46" t="s">
        <v>265</v>
      </c>
      <c r="C46" t="s">
        <v>573</v>
      </c>
      <c r="D46" t="s">
        <v>586</v>
      </c>
    </row>
    <row r="47" spans="1:4" x14ac:dyDescent="0.3">
      <c r="A47">
        <v>60</v>
      </c>
      <c r="B47" t="s">
        <v>246</v>
      </c>
      <c r="C47" t="s">
        <v>278</v>
      </c>
      <c r="D47" t="s">
        <v>587</v>
      </c>
    </row>
    <row r="48" spans="1:4" x14ac:dyDescent="0.3">
      <c r="A48">
        <v>63</v>
      </c>
      <c r="B48" t="s">
        <v>291</v>
      </c>
      <c r="C48" t="s">
        <v>573</v>
      </c>
      <c r="D48" t="s">
        <v>588</v>
      </c>
    </row>
    <row r="49" spans="1:4" x14ac:dyDescent="0.3">
      <c r="A49">
        <v>64</v>
      </c>
      <c r="B49" t="s">
        <v>249</v>
      </c>
      <c r="C49" t="s">
        <v>279</v>
      </c>
      <c r="D49" t="s">
        <v>589</v>
      </c>
    </row>
    <row r="50" spans="1:4" x14ac:dyDescent="0.3">
      <c r="A50">
        <v>65</v>
      </c>
      <c r="B50" t="s">
        <v>294</v>
      </c>
      <c r="C50" t="s">
        <v>573</v>
      </c>
      <c r="D50" t="s">
        <v>590</v>
      </c>
    </row>
    <row r="51" spans="1:4" x14ac:dyDescent="0.3">
      <c r="A51">
        <v>66</v>
      </c>
      <c r="B51" t="s">
        <v>254</v>
      </c>
      <c r="C51" t="s">
        <v>280</v>
      </c>
      <c r="D51" t="s">
        <v>591</v>
      </c>
    </row>
    <row r="52" spans="1:4" x14ac:dyDescent="0.3">
      <c r="A52">
        <v>67</v>
      </c>
      <c r="B52" t="s">
        <v>296</v>
      </c>
      <c r="C52" t="s">
        <v>501</v>
      </c>
      <c r="D52" t="s">
        <v>592</v>
      </c>
    </row>
    <row r="53" spans="1:4" x14ac:dyDescent="0.3">
      <c r="A53">
        <v>68</v>
      </c>
      <c r="B53" t="s">
        <v>298</v>
      </c>
      <c r="C53" t="s">
        <v>417</v>
      </c>
      <c r="D53" t="s">
        <v>593</v>
      </c>
    </row>
    <row r="54" spans="1:4" x14ac:dyDescent="0.3">
      <c r="A54">
        <v>69</v>
      </c>
      <c r="B54" t="s">
        <v>301</v>
      </c>
      <c r="C54" t="s">
        <v>351</v>
      </c>
      <c r="D54" t="s">
        <v>594</v>
      </c>
    </row>
    <row r="55" spans="1:4" x14ac:dyDescent="0.3">
      <c r="A55">
        <v>70</v>
      </c>
      <c r="B55" t="s">
        <v>304</v>
      </c>
      <c r="C55" t="s">
        <v>352</v>
      </c>
      <c r="D55" t="s">
        <v>595</v>
      </c>
    </row>
    <row r="56" spans="1:4" x14ac:dyDescent="0.3">
      <c r="A56">
        <v>73</v>
      </c>
      <c r="B56" t="s">
        <v>152</v>
      </c>
      <c r="C56" t="s">
        <v>573</v>
      </c>
      <c r="D56" t="s">
        <v>596</v>
      </c>
    </row>
    <row r="57" spans="1:4" x14ac:dyDescent="0.3">
      <c r="A57">
        <v>74</v>
      </c>
      <c r="B57" t="s">
        <v>597</v>
      </c>
      <c r="C57" t="s">
        <v>598</v>
      </c>
      <c r="D57" t="s">
        <v>599</v>
      </c>
    </row>
    <row r="58" spans="1:4" x14ac:dyDescent="0.3">
      <c r="A58">
        <v>75</v>
      </c>
      <c r="B58" t="s">
        <v>600</v>
      </c>
      <c r="C58" t="s">
        <v>601</v>
      </c>
      <c r="D58" t="s">
        <v>602</v>
      </c>
    </row>
    <row r="59" spans="1:4" x14ac:dyDescent="0.3">
      <c r="A59">
        <v>76</v>
      </c>
      <c r="B59" t="s">
        <v>603</v>
      </c>
      <c r="C59" t="s">
        <v>604</v>
      </c>
      <c r="D59" t="s">
        <v>605</v>
      </c>
    </row>
    <row r="60" spans="1:4" x14ac:dyDescent="0.3">
      <c r="A60">
        <v>77</v>
      </c>
      <c r="B60" t="s">
        <v>606</v>
      </c>
      <c r="C60" t="s">
        <v>573</v>
      </c>
      <c r="D60" t="s">
        <v>607</v>
      </c>
    </row>
    <row r="61" spans="1:4" x14ac:dyDescent="0.3">
      <c r="A61">
        <v>78</v>
      </c>
      <c r="B61" t="s">
        <v>608</v>
      </c>
      <c r="C61" t="s">
        <v>573</v>
      </c>
      <c r="D61" t="s">
        <v>609</v>
      </c>
    </row>
    <row r="62" spans="1:4" x14ac:dyDescent="0.3">
      <c r="A62">
        <v>79</v>
      </c>
      <c r="B62" t="s">
        <v>610</v>
      </c>
      <c r="C62" t="s">
        <v>573</v>
      </c>
      <c r="D62" t="s">
        <v>611</v>
      </c>
    </row>
    <row r="63" spans="1:4" x14ac:dyDescent="0.3">
      <c r="A63">
        <v>80</v>
      </c>
      <c r="B63" t="s">
        <v>229</v>
      </c>
      <c r="C63" t="s">
        <v>354</v>
      </c>
      <c r="D63" t="s">
        <v>612</v>
      </c>
    </row>
    <row r="64" spans="1:4" x14ac:dyDescent="0.3">
      <c r="A64">
        <v>81</v>
      </c>
      <c r="B64" t="s">
        <v>226</v>
      </c>
      <c r="C64" t="s">
        <v>355</v>
      </c>
      <c r="D64" t="s">
        <v>613</v>
      </c>
    </row>
    <row r="65" spans="1:4" x14ac:dyDescent="0.3">
      <c r="A65">
        <v>82</v>
      </c>
      <c r="B65" t="s">
        <v>223</v>
      </c>
      <c r="C65" t="s">
        <v>573</v>
      </c>
      <c r="D65" t="s">
        <v>614</v>
      </c>
    </row>
    <row r="66" spans="1:4" x14ac:dyDescent="0.3">
      <c r="A66">
        <v>85</v>
      </c>
      <c r="B66" t="s">
        <v>192</v>
      </c>
      <c r="C66" t="s">
        <v>573</v>
      </c>
      <c r="D66" t="s">
        <v>615</v>
      </c>
    </row>
    <row r="67" spans="1:4" x14ac:dyDescent="0.3">
      <c r="A67">
        <v>86</v>
      </c>
      <c r="B67" t="s">
        <v>195</v>
      </c>
      <c r="C67" t="s">
        <v>573</v>
      </c>
      <c r="D67" t="s">
        <v>616</v>
      </c>
    </row>
    <row r="68" spans="1:4" x14ac:dyDescent="0.3">
      <c r="A68">
        <v>87</v>
      </c>
      <c r="B68" t="s">
        <v>41</v>
      </c>
      <c r="C68" t="s">
        <v>501</v>
      </c>
      <c r="D68" t="s">
        <v>617</v>
      </c>
    </row>
    <row r="69" spans="1:4" x14ac:dyDescent="0.3">
      <c r="A69">
        <v>88</v>
      </c>
      <c r="B69" t="s">
        <v>42</v>
      </c>
      <c r="C69" t="s">
        <v>501</v>
      </c>
      <c r="D69" t="s">
        <v>618</v>
      </c>
    </row>
    <row r="70" spans="1:4" x14ac:dyDescent="0.3">
      <c r="A70">
        <v>89</v>
      </c>
      <c r="B70" t="s">
        <v>619</v>
      </c>
      <c r="C70" t="s">
        <v>501</v>
      </c>
      <c r="D70" t="s">
        <v>620</v>
      </c>
    </row>
    <row r="71" spans="1:4" x14ac:dyDescent="0.3">
      <c r="A71">
        <v>90</v>
      </c>
      <c r="B71" t="s">
        <v>621</v>
      </c>
      <c r="C71" t="s">
        <v>501</v>
      </c>
      <c r="D71" t="s">
        <v>622</v>
      </c>
    </row>
    <row r="72" spans="1:4" x14ac:dyDescent="0.3">
      <c r="A72">
        <v>91</v>
      </c>
      <c r="B72" t="s">
        <v>623</v>
      </c>
      <c r="C72" t="s">
        <v>501</v>
      </c>
      <c r="D72" t="s">
        <v>624</v>
      </c>
    </row>
    <row r="73" spans="1:4" x14ac:dyDescent="0.3">
      <c r="A73">
        <v>92</v>
      </c>
      <c r="B73" t="s">
        <v>625</v>
      </c>
      <c r="C73" t="s">
        <v>501</v>
      </c>
      <c r="D73" t="s">
        <v>626</v>
      </c>
    </row>
    <row r="74" spans="1:4" x14ac:dyDescent="0.3">
      <c r="A74">
        <v>96</v>
      </c>
      <c r="B74" t="s">
        <v>143</v>
      </c>
      <c r="C74" t="s">
        <v>627</v>
      </c>
      <c r="D74" t="s">
        <v>628</v>
      </c>
    </row>
    <row r="75" spans="1:4" x14ac:dyDescent="0.3">
      <c r="A75">
        <v>97</v>
      </c>
      <c r="B75" t="s">
        <v>158</v>
      </c>
      <c r="C75" t="s">
        <v>629</v>
      </c>
      <c r="D75" t="s">
        <v>630</v>
      </c>
    </row>
    <row r="76" spans="1:4" x14ac:dyDescent="0.3">
      <c r="A76">
        <v>98</v>
      </c>
      <c r="B76" t="s">
        <v>35</v>
      </c>
      <c r="C76" t="s">
        <v>631</v>
      </c>
      <c r="D76" t="s">
        <v>632</v>
      </c>
    </row>
    <row r="77" spans="1:4" x14ac:dyDescent="0.3">
      <c r="A77">
        <v>99</v>
      </c>
      <c r="B77" t="s">
        <v>36</v>
      </c>
      <c r="C77" t="s">
        <v>633</v>
      </c>
      <c r="D77" t="s">
        <v>634</v>
      </c>
    </row>
    <row r="78" spans="1:4" x14ac:dyDescent="0.3">
      <c r="A78">
        <v>100</v>
      </c>
      <c r="B78" t="s">
        <v>635</v>
      </c>
      <c r="C78" t="s">
        <v>636</v>
      </c>
      <c r="D78" t="s">
        <v>637</v>
      </c>
    </row>
    <row r="79" spans="1:4" x14ac:dyDescent="0.3">
      <c r="A79">
        <v>101</v>
      </c>
      <c r="B79" t="s">
        <v>638</v>
      </c>
      <c r="C79" t="s">
        <v>639</v>
      </c>
      <c r="D79" t="s">
        <v>640</v>
      </c>
    </row>
    <row r="80" spans="1:4" x14ac:dyDescent="0.3">
      <c r="A80">
        <v>102</v>
      </c>
      <c r="B80" t="s">
        <v>641</v>
      </c>
      <c r="C80" t="s">
        <v>642</v>
      </c>
    </row>
    <row r="81" spans="1:4" x14ac:dyDescent="0.3">
      <c r="A81">
        <v>103</v>
      </c>
      <c r="B81" t="s">
        <v>643</v>
      </c>
      <c r="C81" t="s">
        <v>644</v>
      </c>
      <c r="D81" t="s">
        <v>645</v>
      </c>
    </row>
    <row r="82" spans="1:4" x14ac:dyDescent="0.3">
      <c r="A82">
        <v>104</v>
      </c>
      <c r="B82" t="s">
        <v>646</v>
      </c>
      <c r="C82" t="s">
        <v>647</v>
      </c>
      <c r="D82" t="s">
        <v>648</v>
      </c>
    </row>
    <row r="83" spans="1:4" x14ac:dyDescent="0.3">
      <c r="A83">
        <v>105</v>
      </c>
      <c r="B83" t="s">
        <v>649</v>
      </c>
      <c r="C83" t="s">
        <v>650</v>
      </c>
      <c r="D83" t="s">
        <v>651</v>
      </c>
    </row>
    <row r="84" spans="1:4" x14ac:dyDescent="0.3">
      <c r="A84">
        <v>109</v>
      </c>
      <c r="B84" t="s">
        <v>652</v>
      </c>
      <c r="C84" t="s">
        <v>653</v>
      </c>
      <c r="D84" t="s">
        <v>654</v>
      </c>
    </row>
    <row r="85" spans="1:4" x14ac:dyDescent="0.3">
      <c r="A85">
        <v>110</v>
      </c>
      <c r="B85" t="s">
        <v>155</v>
      </c>
      <c r="C85" t="s">
        <v>655</v>
      </c>
    </row>
    <row r="86" spans="1:4" x14ac:dyDescent="0.3">
      <c r="A86">
        <v>111</v>
      </c>
      <c r="B86" t="s">
        <v>37</v>
      </c>
      <c r="C86" t="s">
        <v>656</v>
      </c>
      <c r="D86" t="s">
        <v>657</v>
      </c>
    </row>
    <row r="87" spans="1:4" x14ac:dyDescent="0.3">
      <c r="A87">
        <v>112</v>
      </c>
      <c r="B87" t="s">
        <v>38</v>
      </c>
      <c r="C87" t="s">
        <v>658</v>
      </c>
      <c r="D87" t="s">
        <v>659</v>
      </c>
    </row>
    <row r="88" spans="1:4" x14ac:dyDescent="0.3">
      <c r="A88">
        <v>113</v>
      </c>
      <c r="B88" t="s">
        <v>39</v>
      </c>
      <c r="C88" t="s">
        <v>660</v>
      </c>
      <c r="D88" t="s">
        <v>661</v>
      </c>
    </row>
    <row r="89" spans="1:4" x14ac:dyDescent="0.3">
      <c r="A89">
        <v>114</v>
      </c>
      <c r="B89" t="s">
        <v>105</v>
      </c>
      <c r="C89" t="s">
        <v>485</v>
      </c>
      <c r="D89" t="s">
        <v>662</v>
      </c>
    </row>
    <row r="90" spans="1:4" x14ac:dyDescent="0.3">
      <c r="A90">
        <v>115</v>
      </c>
      <c r="B90" t="s">
        <v>107</v>
      </c>
      <c r="C90" t="s">
        <v>484</v>
      </c>
      <c r="D90" t="s">
        <v>663</v>
      </c>
    </row>
    <row r="91" spans="1:4" x14ac:dyDescent="0.3">
      <c r="A91">
        <v>116</v>
      </c>
      <c r="B91" t="s">
        <v>40</v>
      </c>
      <c r="C91" t="s">
        <v>664</v>
      </c>
      <c r="D91" t="s">
        <v>665</v>
      </c>
    </row>
    <row r="92" spans="1:4" x14ac:dyDescent="0.3">
      <c r="A92">
        <v>117</v>
      </c>
      <c r="B92" t="s">
        <v>666</v>
      </c>
      <c r="C92" t="s">
        <v>347</v>
      </c>
      <c r="D92" t="s">
        <v>667</v>
      </c>
    </row>
    <row r="93" spans="1:4" x14ac:dyDescent="0.3">
      <c r="A93">
        <v>118</v>
      </c>
      <c r="B93" t="s">
        <v>668</v>
      </c>
      <c r="C93" t="s">
        <v>363</v>
      </c>
      <c r="D93" t="s">
        <v>669</v>
      </c>
    </row>
    <row r="94" spans="1:4" x14ac:dyDescent="0.3">
      <c r="A94">
        <v>119</v>
      </c>
      <c r="B94" t="s">
        <v>114</v>
      </c>
      <c r="C94" t="s">
        <v>348</v>
      </c>
      <c r="D94" t="s">
        <v>670</v>
      </c>
    </row>
    <row r="95" spans="1:4" x14ac:dyDescent="0.3">
      <c r="A95">
        <v>122</v>
      </c>
      <c r="B95" t="s">
        <v>112</v>
      </c>
      <c r="C95" t="s">
        <v>349</v>
      </c>
      <c r="D95" t="s">
        <v>671</v>
      </c>
    </row>
    <row r="96" spans="1:4" x14ac:dyDescent="0.3">
      <c r="A96">
        <v>123</v>
      </c>
      <c r="B96" t="s">
        <v>110</v>
      </c>
      <c r="C96" t="s">
        <v>573</v>
      </c>
      <c r="D96" t="s">
        <v>672</v>
      </c>
    </row>
    <row r="97" spans="1:4" x14ac:dyDescent="0.3">
      <c r="A97">
        <v>124</v>
      </c>
      <c r="B97" t="s">
        <v>262</v>
      </c>
      <c r="C97" t="s">
        <v>358</v>
      </c>
      <c r="D97" t="s">
        <v>673</v>
      </c>
    </row>
    <row r="98" spans="1:4" x14ac:dyDescent="0.3">
      <c r="A98">
        <v>127</v>
      </c>
      <c r="B98" t="s">
        <v>674</v>
      </c>
      <c r="C98" t="s">
        <v>357</v>
      </c>
      <c r="D98" t="s">
        <v>675</v>
      </c>
    </row>
    <row r="99" spans="1:4" x14ac:dyDescent="0.3">
      <c r="A99">
        <v>128</v>
      </c>
      <c r="B99" t="s">
        <v>676</v>
      </c>
      <c r="C99" t="s">
        <v>364</v>
      </c>
      <c r="D99" t="s">
        <v>677</v>
      </c>
    </row>
    <row r="100" spans="1:4" x14ac:dyDescent="0.3">
      <c r="A100">
        <v>129</v>
      </c>
      <c r="B100" t="s">
        <v>259</v>
      </c>
      <c r="C100" t="s">
        <v>346</v>
      </c>
      <c r="D100" t="s">
        <v>678</v>
      </c>
    </row>
    <row r="101" spans="1:4" x14ac:dyDescent="0.3">
      <c r="A101">
        <v>132</v>
      </c>
      <c r="B101" t="s">
        <v>679</v>
      </c>
      <c r="C101" t="s">
        <v>573</v>
      </c>
      <c r="D101" t="s">
        <v>680</v>
      </c>
    </row>
    <row r="102" spans="1:4" x14ac:dyDescent="0.3">
      <c r="A102">
        <v>133</v>
      </c>
      <c r="B102" t="s">
        <v>164</v>
      </c>
      <c r="C102" t="s">
        <v>681</v>
      </c>
      <c r="D102" t="s">
        <v>682</v>
      </c>
    </row>
    <row r="103" spans="1:4" x14ac:dyDescent="0.3">
      <c r="A103">
        <v>134</v>
      </c>
      <c r="B103" t="s">
        <v>170</v>
      </c>
      <c r="C103" t="s">
        <v>430</v>
      </c>
      <c r="D103" t="s">
        <v>683</v>
      </c>
    </row>
    <row r="104" spans="1:4" x14ac:dyDescent="0.3">
      <c r="A104">
        <v>135</v>
      </c>
      <c r="B104" t="s">
        <v>161</v>
      </c>
      <c r="C104" t="s">
        <v>431</v>
      </c>
      <c r="D104" t="s">
        <v>684</v>
      </c>
    </row>
    <row r="105" spans="1:4" x14ac:dyDescent="0.3">
      <c r="A105">
        <v>136</v>
      </c>
      <c r="B105" t="s">
        <v>217</v>
      </c>
      <c r="C105" t="s">
        <v>420</v>
      </c>
      <c r="D105" t="s">
        <v>685</v>
      </c>
    </row>
    <row r="106" spans="1:4" x14ac:dyDescent="0.3">
      <c r="A106">
        <v>137</v>
      </c>
      <c r="B106" t="s">
        <v>686</v>
      </c>
      <c r="C106" t="s">
        <v>398</v>
      </c>
      <c r="D106" t="s">
        <v>687</v>
      </c>
    </row>
    <row r="107" spans="1:4" x14ac:dyDescent="0.3">
      <c r="A107">
        <v>139</v>
      </c>
      <c r="B107" t="s">
        <v>173</v>
      </c>
      <c r="C107" t="s">
        <v>405</v>
      </c>
      <c r="D107" t="s">
        <v>688</v>
      </c>
    </row>
    <row r="108" spans="1:4" x14ac:dyDescent="0.3">
      <c r="A108">
        <v>140</v>
      </c>
      <c r="B108" t="s">
        <v>68</v>
      </c>
      <c r="C108" t="s">
        <v>406</v>
      </c>
      <c r="D108" t="s">
        <v>689</v>
      </c>
    </row>
    <row r="109" spans="1:4" x14ac:dyDescent="0.3">
      <c r="A109">
        <v>141</v>
      </c>
      <c r="B109" t="s">
        <v>241</v>
      </c>
      <c r="C109" t="s">
        <v>690</v>
      </c>
      <c r="D109" t="s">
        <v>691</v>
      </c>
    </row>
    <row r="110" spans="1:4" x14ac:dyDescent="0.3">
      <c r="A110">
        <v>142</v>
      </c>
      <c r="B110" t="s">
        <v>692</v>
      </c>
      <c r="C110" t="s">
        <v>693</v>
      </c>
      <c r="D110" t="s">
        <v>694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70"/>
  <sheetViews>
    <sheetView zoomScale="90" zoomScaleNormal="90" zoomScalePageLayoutView="120" workbookViewId="0">
      <pane ySplit="1" topLeftCell="A20" activePane="bottomLeft" state="frozen"/>
      <selection pane="bottomLeft" activeCell="T28" sqref="T28"/>
    </sheetView>
  </sheetViews>
  <sheetFormatPr defaultColWidth="8.77734375" defaultRowHeight="14.4" x14ac:dyDescent="0.3"/>
  <cols>
    <col min="1" max="1" width="6.77734375" customWidth="1"/>
    <col min="2" max="3" width="6.44140625" customWidth="1"/>
    <col min="4" max="4" width="7" customWidth="1"/>
    <col min="5" max="5" width="5.44140625" customWidth="1"/>
    <col min="6" max="6" width="4.44140625" style="31" customWidth="1"/>
    <col min="7" max="7" width="5.109375" style="31" customWidth="1"/>
    <col min="8" max="8" width="7.109375" style="31" customWidth="1"/>
    <col min="9" max="9" width="7.5546875" style="31" customWidth="1"/>
    <col min="10" max="10" width="7" style="33" customWidth="1"/>
    <col min="11" max="11" width="7.21875" style="33" customWidth="1"/>
    <col min="12" max="12" width="6.6640625" style="33" customWidth="1"/>
    <col min="13" max="13" width="8.44140625" style="33" customWidth="1"/>
    <col min="14" max="14" width="7" style="33" customWidth="1"/>
    <col min="15" max="15" width="6.6640625" style="30" customWidth="1"/>
    <col min="16" max="16" width="3.44140625" style="30" customWidth="1"/>
    <col min="17" max="17" width="14.77734375" customWidth="1"/>
    <col min="18" max="18" width="8.77734375" style="31"/>
    <col min="19" max="19" width="7.44140625" style="30" customWidth="1"/>
    <col min="20" max="20" width="7.77734375" style="45" customWidth="1"/>
    <col min="21" max="21" width="12" style="30" customWidth="1"/>
    <col min="22" max="22" width="5.77734375" style="30" customWidth="1"/>
    <col min="23" max="23" width="30" style="123" customWidth="1"/>
    <col min="24" max="24" width="8.77734375" style="31"/>
    <col min="25" max="25" width="18.44140625" style="49" customWidth="1"/>
    <col min="26" max="26" width="19.109375" customWidth="1"/>
    <col min="27" max="27" width="23.44140625" customWidth="1"/>
  </cols>
  <sheetData>
    <row r="1" spans="1:25" ht="53.4" customHeight="1" x14ac:dyDescent="0.3">
      <c r="A1" t="s">
        <v>492</v>
      </c>
      <c r="B1" t="s">
        <v>856</v>
      </c>
      <c r="C1" s="44" t="s">
        <v>1</v>
      </c>
      <c r="D1" s="60" t="s">
        <v>177</v>
      </c>
      <c r="E1" s="60" t="s">
        <v>25</v>
      </c>
      <c r="F1" s="60" t="s">
        <v>71</v>
      </c>
      <c r="G1" s="60" t="s">
        <v>306</v>
      </c>
      <c r="H1" s="122" t="s">
        <v>875</v>
      </c>
      <c r="I1" s="122" t="s">
        <v>876</v>
      </c>
      <c r="J1" s="122" t="s">
        <v>877</v>
      </c>
      <c r="K1" s="122" t="s">
        <v>878</v>
      </c>
      <c r="L1" s="34" t="s">
        <v>4</v>
      </c>
      <c r="M1" s="37" t="s">
        <v>318</v>
      </c>
      <c r="N1" s="37" t="s">
        <v>319</v>
      </c>
      <c r="O1" s="44" t="s">
        <v>8</v>
      </c>
      <c r="P1" s="34" t="s">
        <v>9</v>
      </c>
      <c r="Q1" s="37" t="s">
        <v>402</v>
      </c>
      <c r="R1" s="47" t="s">
        <v>853</v>
      </c>
      <c r="S1" s="37" t="s">
        <v>376</v>
      </c>
      <c r="T1" s="37" t="s">
        <v>386</v>
      </c>
      <c r="U1" s="37" t="s">
        <v>852</v>
      </c>
      <c r="V1" s="75" t="s">
        <v>715</v>
      </c>
      <c r="W1" s="110" t="s">
        <v>490</v>
      </c>
      <c r="X1" s="58" t="s">
        <v>491</v>
      </c>
      <c r="Y1" s="58" t="s">
        <v>728</v>
      </c>
    </row>
    <row r="2" spans="1:25" ht="31.8" hidden="1" customHeight="1" x14ac:dyDescent="0.3">
      <c r="C2" s="29">
        <v>10</v>
      </c>
      <c r="D2" s="36"/>
      <c r="E2" s="36"/>
      <c r="F2" s="36"/>
      <c r="G2" s="36"/>
      <c r="H2" s="35"/>
      <c r="I2" s="35">
        <v>10</v>
      </c>
      <c r="J2" s="35"/>
      <c r="K2" s="29"/>
      <c r="L2" s="29"/>
      <c r="M2" s="42"/>
      <c r="N2" s="42"/>
      <c r="O2" s="29" t="s">
        <v>33</v>
      </c>
      <c r="P2" s="32" t="s">
        <v>33</v>
      </c>
      <c r="Q2" s="42"/>
      <c r="R2" s="40"/>
      <c r="S2" s="42"/>
      <c r="T2" s="42"/>
      <c r="U2" s="48"/>
      <c r="V2" s="50" t="s">
        <v>33</v>
      </c>
      <c r="W2" s="111"/>
      <c r="X2" s="59"/>
      <c r="Y2" s="86"/>
    </row>
    <row r="3" spans="1:25" ht="46.8" hidden="1" customHeight="1" x14ac:dyDescent="0.3">
      <c r="C3" s="29">
        <v>26</v>
      </c>
      <c r="D3" s="36"/>
      <c r="E3" s="36"/>
      <c r="F3" s="36"/>
      <c r="G3" s="36"/>
      <c r="H3" s="35"/>
      <c r="I3" s="35">
        <v>26</v>
      </c>
      <c r="J3" s="35"/>
      <c r="K3" s="29"/>
      <c r="L3" s="29"/>
      <c r="M3" s="42"/>
      <c r="N3" s="42"/>
      <c r="O3" s="29" t="s">
        <v>33</v>
      </c>
      <c r="P3" s="32" t="s">
        <v>33</v>
      </c>
      <c r="Q3" s="42"/>
      <c r="R3" s="40"/>
      <c r="S3" s="42"/>
      <c r="T3" s="42"/>
      <c r="U3" s="48"/>
      <c r="V3" s="50" t="s">
        <v>33</v>
      </c>
      <c r="W3" s="111"/>
      <c r="X3" s="59"/>
      <c r="Y3" s="86"/>
    </row>
    <row r="4" spans="1:25" ht="30.6" hidden="1" customHeight="1" x14ac:dyDescent="0.3">
      <c r="C4" s="29">
        <v>67</v>
      </c>
      <c r="D4" s="36"/>
      <c r="E4" s="36"/>
      <c r="F4" s="36"/>
      <c r="G4" s="36"/>
      <c r="H4" s="35">
        <v>67</v>
      </c>
      <c r="I4" s="35"/>
      <c r="J4" s="35"/>
      <c r="K4" s="29"/>
      <c r="L4" s="29"/>
      <c r="M4" s="42"/>
      <c r="N4" s="42"/>
      <c r="O4" s="29" t="s">
        <v>33</v>
      </c>
      <c r="P4" s="32" t="s">
        <v>33</v>
      </c>
      <c r="Q4" s="42"/>
      <c r="R4" s="40"/>
      <c r="S4" s="42"/>
      <c r="T4" s="42"/>
      <c r="U4" s="48"/>
      <c r="V4" s="50" t="s">
        <v>33</v>
      </c>
      <c r="W4" s="111"/>
      <c r="X4" s="59"/>
      <c r="Y4" s="74"/>
    </row>
    <row r="5" spans="1:25" ht="22.2" hidden="1" customHeight="1" x14ac:dyDescent="0.3">
      <c r="A5">
        <v>1</v>
      </c>
      <c r="C5" s="29">
        <v>16</v>
      </c>
      <c r="D5" s="29"/>
      <c r="E5" s="29">
        <v>7</v>
      </c>
      <c r="F5" s="29"/>
      <c r="G5" s="29"/>
      <c r="H5" s="29"/>
      <c r="I5" s="29">
        <v>16</v>
      </c>
      <c r="J5" s="29"/>
      <c r="K5" s="29"/>
      <c r="L5" s="29"/>
      <c r="M5" s="42"/>
      <c r="N5" s="42"/>
      <c r="O5" s="29" t="s">
        <v>13</v>
      </c>
      <c r="P5" s="29" t="s">
        <v>13</v>
      </c>
      <c r="Q5" s="42"/>
      <c r="R5" s="40"/>
      <c r="S5" s="42"/>
      <c r="T5" s="42"/>
      <c r="U5" s="48" t="s">
        <v>394</v>
      </c>
      <c r="V5" s="50" t="s">
        <v>33</v>
      </c>
      <c r="W5" s="112" t="s">
        <v>874</v>
      </c>
      <c r="X5" s="59" t="s">
        <v>727</v>
      </c>
      <c r="Y5" s="86"/>
    </row>
    <row r="6" spans="1:25" ht="27" hidden="1" customHeight="1" x14ac:dyDescent="0.3">
      <c r="A6">
        <v>2</v>
      </c>
      <c r="C6" s="29">
        <v>18</v>
      </c>
      <c r="D6" s="29"/>
      <c r="E6" s="29">
        <v>9</v>
      </c>
      <c r="F6" s="29"/>
      <c r="G6" s="29"/>
      <c r="H6" s="29"/>
      <c r="I6" s="29">
        <v>18</v>
      </c>
      <c r="J6" s="29"/>
      <c r="K6" s="29"/>
      <c r="L6" s="29"/>
      <c r="M6" s="42"/>
      <c r="N6" s="42"/>
      <c r="O6" s="29" t="s">
        <v>14</v>
      </c>
      <c r="P6" s="29" t="s">
        <v>14</v>
      </c>
      <c r="Q6" s="42"/>
      <c r="R6" s="40"/>
      <c r="S6" s="42"/>
      <c r="T6" s="42"/>
      <c r="U6" s="51"/>
      <c r="V6" s="50" t="s">
        <v>33</v>
      </c>
      <c r="W6" s="111" t="s">
        <v>45</v>
      </c>
      <c r="X6" s="59" t="s">
        <v>726</v>
      </c>
      <c r="Y6" s="86"/>
    </row>
    <row r="7" spans="1:25" ht="22.05" hidden="1" customHeight="1" x14ac:dyDescent="0.3">
      <c r="A7">
        <v>3</v>
      </c>
      <c r="B7">
        <v>34</v>
      </c>
      <c r="C7" s="29">
        <v>13</v>
      </c>
      <c r="D7" s="29"/>
      <c r="E7" s="29"/>
      <c r="F7" s="29"/>
      <c r="G7" s="29"/>
      <c r="H7" s="29">
        <v>13</v>
      </c>
      <c r="I7" s="29"/>
      <c r="J7" s="29"/>
      <c r="K7" s="29"/>
      <c r="L7" s="29"/>
      <c r="M7" s="42"/>
      <c r="N7" s="42"/>
      <c r="O7" s="29" t="s">
        <v>310</v>
      </c>
      <c r="P7" s="29">
        <v>13</v>
      </c>
      <c r="Q7" s="42"/>
      <c r="R7" s="40"/>
      <c r="S7" s="42"/>
      <c r="T7" s="42"/>
      <c r="U7" s="48" t="s">
        <v>831</v>
      </c>
      <c r="V7" s="50" t="s">
        <v>336</v>
      </c>
      <c r="W7" s="111" t="s">
        <v>481</v>
      </c>
      <c r="X7" s="59" t="s">
        <v>481</v>
      </c>
      <c r="Y7" s="86" t="s">
        <v>481</v>
      </c>
    </row>
    <row r="8" spans="1:25" ht="20.55" hidden="1" customHeight="1" x14ac:dyDescent="0.3">
      <c r="A8">
        <v>4</v>
      </c>
      <c r="B8">
        <v>35</v>
      </c>
      <c r="C8" s="29">
        <v>15</v>
      </c>
      <c r="D8" s="29"/>
      <c r="E8" s="29"/>
      <c r="F8" s="29"/>
      <c r="G8" s="29"/>
      <c r="H8" s="29">
        <v>15</v>
      </c>
      <c r="I8" s="29"/>
      <c r="J8" s="29"/>
      <c r="K8" s="29"/>
      <c r="L8" s="29"/>
      <c r="M8" s="42"/>
      <c r="N8" s="42"/>
      <c r="O8" s="29" t="s">
        <v>310</v>
      </c>
      <c r="P8" s="29">
        <v>14</v>
      </c>
      <c r="Q8" s="42"/>
      <c r="R8" s="40"/>
      <c r="S8" s="42"/>
      <c r="T8" s="42"/>
      <c r="U8" s="48" t="s">
        <v>832</v>
      </c>
      <c r="V8" s="50" t="s">
        <v>336</v>
      </c>
      <c r="W8" s="111" t="s">
        <v>482</v>
      </c>
      <c r="X8" s="59" t="s">
        <v>482</v>
      </c>
      <c r="Y8" s="86" t="s">
        <v>482</v>
      </c>
    </row>
    <row r="9" spans="1:25" ht="34.049999999999997" customHeight="1" x14ac:dyDescent="0.3">
      <c r="A9">
        <v>5</v>
      </c>
      <c r="B9">
        <v>36</v>
      </c>
      <c r="C9" s="29">
        <v>17</v>
      </c>
      <c r="D9" s="29">
        <v>9</v>
      </c>
      <c r="E9" s="29"/>
      <c r="F9" s="29"/>
      <c r="G9" s="29"/>
      <c r="H9" s="29">
        <v>17</v>
      </c>
      <c r="I9" s="29"/>
      <c r="J9" s="29"/>
      <c r="K9" s="29"/>
      <c r="L9" s="29"/>
      <c r="M9" s="42" t="s">
        <v>154</v>
      </c>
      <c r="N9" s="42" t="s">
        <v>175</v>
      </c>
      <c r="O9" s="29" t="s">
        <v>310</v>
      </c>
      <c r="P9" s="29">
        <v>15</v>
      </c>
      <c r="Q9" s="42" t="s">
        <v>427</v>
      </c>
      <c r="R9" s="40" t="s">
        <v>833</v>
      </c>
      <c r="S9" s="42"/>
      <c r="T9" s="42"/>
      <c r="U9" s="48"/>
      <c r="V9" s="50"/>
      <c r="W9" s="111" t="s">
        <v>718</v>
      </c>
      <c r="X9" s="59" t="s">
        <v>705</v>
      </c>
      <c r="Y9" s="86"/>
    </row>
    <row r="10" spans="1:25" ht="91.2" x14ac:dyDescent="0.3">
      <c r="A10">
        <v>6</v>
      </c>
      <c r="B10">
        <v>37</v>
      </c>
      <c r="C10" s="29">
        <v>28</v>
      </c>
      <c r="D10" s="29"/>
      <c r="E10" s="29"/>
      <c r="F10" s="29">
        <v>1</v>
      </c>
      <c r="G10" s="29">
        <v>29</v>
      </c>
      <c r="H10" s="29"/>
      <c r="I10" s="29">
        <v>28</v>
      </c>
      <c r="J10" s="29"/>
      <c r="K10" s="29"/>
      <c r="L10" s="29"/>
      <c r="M10" s="42" t="s">
        <v>234</v>
      </c>
      <c r="N10" s="42" t="s">
        <v>275</v>
      </c>
      <c r="O10" s="29" t="s">
        <v>310</v>
      </c>
      <c r="P10" s="29">
        <v>0</v>
      </c>
      <c r="Q10" s="42" t="s">
        <v>434</v>
      </c>
      <c r="R10" s="40" t="s">
        <v>779</v>
      </c>
      <c r="S10" s="42"/>
      <c r="T10" s="42" t="s">
        <v>331</v>
      </c>
      <c r="U10" s="48" t="s">
        <v>780</v>
      </c>
      <c r="V10" s="50" t="s">
        <v>335</v>
      </c>
      <c r="W10" s="111" t="s">
        <v>885</v>
      </c>
      <c r="X10" s="59" t="s">
        <v>549</v>
      </c>
      <c r="Y10" s="86" t="s">
        <v>780</v>
      </c>
    </row>
    <row r="11" spans="1:25" ht="57" x14ac:dyDescent="0.3">
      <c r="A11">
        <v>7</v>
      </c>
      <c r="B11">
        <v>40</v>
      </c>
      <c r="C11" s="29">
        <v>30</v>
      </c>
      <c r="D11" s="29"/>
      <c r="E11" s="29"/>
      <c r="F11" s="29">
        <v>3</v>
      </c>
      <c r="G11" s="29"/>
      <c r="H11" s="29"/>
      <c r="I11" s="29">
        <v>30</v>
      </c>
      <c r="J11" s="29"/>
      <c r="K11" s="29"/>
      <c r="L11" s="29"/>
      <c r="M11" s="42"/>
      <c r="N11" s="42"/>
      <c r="O11" s="29" t="s">
        <v>310</v>
      </c>
      <c r="P11" s="29">
        <v>1</v>
      </c>
      <c r="Q11" s="42" t="s">
        <v>409</v>
      </c>
      <c r="R11" s="40" t="s">
        <v>782</v>
      </c>
      <c r="S11" s="42"/>
      <c r="T11" s="42" t="s">
        <v>369</v>
      </c>
      <c r="U11" s="48" t="s">
        <v>781</v>
      </c>
      <c r="V11" s="50" t="s">
        <v>336</v>
      </c>
      <c r="W11" s="111" t="s">
        <v>720</v>
      </c>
      <c r="X11" s="59" t="s">
        <v>552</v>
      </c>
      <c r="Y11" s="74" t="s">
        <v>858</v>
      </c>
    </row>
    <row r="12" spans="1:25" ht="57" hidden="1" x14ac:dyDescent="0.3">
      <c r="A12">
        <v>8</v>
      </c>
      <c r="B12">
        <v>41</v>
      </c>
      <c r="C12" s="29">
        <v>32</v>
      </c>
      <c r="D12" s="29">
        <v>17</v>
      </c>
      <c r="E12" s="29"/>
      <c r="F12" s="29">
        <v>9</v>
      </c>
      <c r="G12" s="29"/>
      <c r="H12" s="29"/>
      <c r="I12" s="29">
        <v>32</v>
      </c>
      <c r="J12" s="29"/>
      <c r="K12" s="29"/>
      <c r="L12" s="29"/>
      <c r="M12" s="42" t="s">
        <v>166</v>
      </c>
      <c r="N12" s="42" t="s">
        <v>175</v>
      </c>
      <c r="O12" s="29" t="s">
        <v>310</v>
      </c>
      <c r="P12" s="29">
        <v>4</v>
      </c>
      <c r="Q12" s="42"/>
      <c r="R12" s="40" t="s">
        <v>784</v>
      </c>
      <c r="S12" s="42" t="s">
        <v>789</v>
      </c>
      <c r="T12" s="42" t="s">
        <v>332</v>
      </c>
      <c r="U12" s="48" t="s">
        <v>785</v>
      </c>
      <c r="V12" s="50" t="s">
        <v>335</v>
      </c>
      <c r="W12" s="113" t="s">
        <v>722</v>
      </c>
      <c r="X12" s="59" t="s">
        <v>569</v>
      </c>
      <c r="Y12" s="86"/>
    </row>
    <row r="13" spans="1:25" ht="68.400000000000006" x14ac:dyDescent="0.3">
      <c r="A13">
        <v>9</v>
      </c>
      <c r="B13">
        <v>42</v>
      </c>
      <c r="C13" s="29">
        <v>83</v>
      </c>
      <c r="D13" s="29">
        <v>10</v>
      </c>
      <c r="E13" s="29"/>
      <c r="F13" s="29">
        <v>11</v>
      </c>
      <c r="G13" s="29"/>
      <c r="H13" s="29"/>
      <c r="I13" s="29"/>
      <c r="J13" s="29">
        <v>11</v>
      </c>
      <c r="K13" s="29"/>
      <c r="L13" s="29"/>
      <c r="M13" s="42" t="s">
        <v>182</v>
      </c>
      <c r="N13" s="42" t="s">
        <v>200</v>
      </c>
      <c r="O13" s="29" t="s">
        <v>310</v>
      </c>
      <c r="P13" s="29">
        <v>5</v>
      </c>
      <c r="Q13" s="42" t="s">
        <v>412</v>
      </c>
      <c r="R13" s="40" t="s">
        <v>200</v>
      </c>
      <c r="S13" s="42" t="s">
        <v>788</v>
      </c>
      <c r="T13" s="42"/>
      <c r="U13" s="42" t="s">
        <v>786</v>
      </c>
      <c r="V13" s="29"/>
      <c r="W13" s="111" t="s">
        <v>886</v>
      </c>
      <c r="X13" s="59" t="s">
        <v>572</v>
      </c>
      <c r="Y13" s="74" t="s">
        <v>200</v>
      </c>
    </row>
    <row r="14" spans="1:25" ht="22.8" customHeight="1" x14ac:dyDescent="0.3">
      <c r="A14">
        <v>10</v>
      </c>
      <c r="B14">
        <v>43</v>
      </c>
      <c r="C14" s="29">
        <v>84</v>
      </c>
      <c r="D14" s="29"/>
      <c r="E14" s="29"/>
      <c r="F14" s="29"/>
      <c r="G14" s="29"/>
      <c r="H14" s="29"/>
      <c r="I14" s="29"/>
      <c r="J14" s="29"/>
      <c r="K14" s="29">
        <v>12</v>
      </c>
      <c r="L14" s="29"/>
      <c r="M14" s="42"/>
      <c r="N14" s="42"/>
      <c r="O14" s="29" t="s">
        <v>310</v>
      </c>
      <c r="P14" s="29">
        <v>12</v>
      </c>
      <c r="Q14" s="42" t="s">
        <v>283</v>
      </c>
      <c r="R14" s="40" t="s">
        <v>361</v>
      </c>
      <c r="S14" s="42" t="s">
        <v>380</v>
      </c>
      <c r="T14" s="42"/>
      <c r="U14" s="48" t="s">
        <v>484</v>
      </c>
      <c r="V14" s="50" t="s">
        <v>336</v>
      </c>
      <c r="W14" s="111" t="s">
        <v>721</v>
      </c>
      <c r="X14" s="59" t="s">
        <v>648</v>
      </c>
      <c r="Y14" s="74" t="s">
        <v>868</v>
      </c>
    </row>
    <row r="15" spans="1:25" ht="28.8" customHeight="1" x14ac:dyDescent="0.3">
      <c r="A15">
        <v>11</v>
      </c>
      <c r="B15">
        <v>100</v>
      </c>
      <c r="C15" s="29">
        <v>85</v>
      </c>
      <c r="D15" s="29">
        <v>12</v>
      </c>
      <c r="E15" s="29"/>
      <c r="F15" s="29"/>
      <c r="G15" s="29"/>
      <c r="H15" s="29"/>
      <c r="I15" s="29"/>
      <c r="J15" s="29">
        <v>13</v>
      </c>
      <c r="K15" s="29"/>
      <c r="L15" s="29"/>
      <c r="M15" s="42" t="s">
        <v>185</v>
      </c>
      <c r="N15" s="42" t="s">
        <v>201</v>
      </c>
      <c r="O15" s="29" t="s">
        <v>310</v>
      </c>
      <c r="P15" s="29">
        <v>6</v>
      </c>
      <c r="Q15" s="42" t="s">
        <v>413</v>
      </c>
      <c r="R15" s="40" t="s">
        <v>859</v>
      </c>
      <c r="S15" s="42"/>
      <c r="T15" s="42"/>
      <c r="U15" s="42" t="s">
        <v>787</v>
      </c>
      <c r="V15" s="29"/>
      <c r="W15" s="111" t="s">
        <v>887</v>
      </c>
      <c r="X15" s="59" t="s">
        <v>563</v>
      </c>
      <c r="Y15" s="86" t="s">
        <v>201</v>
      </c>
    </row>
    <row r="16" spans="1:25" ht="22.8" x14ac:dyDescent="0.3">
      <c r="A16">
        <v>12</v>
      </c>
      <c r="B16">
        <v>101</v>
      </c>
      <c r="C16" s="29">
        <v>86</v>
      </c>
      <c r="D16" s="29"/>
      <c r="E16" s="29"/>
      <c r="F16" s="29"/>
      <c r="G16" s="29"/>
      <c r="H16" s="29"/>
      <c r="I16" s="29"/>
      <c r="J16" s="29"/>
      <c r="K16" s="29">
        <v>14</v>
      </c>
      <c r="L16" s="29"/>
      <c r="M16" s="42"/>
      <c r="N16" s="42"/>
      <c r="O16" s="29" t="s">
        <v>310</v>
      </c>
      <c r="P16" s="29">
        <v>11</v>
      </c>
      <c r="Q16" s="42" t="s">
        <v>416</v>
      </c>
      <c r="R16" s="40" t="s">
        <v>360</v>
      </c>
      <c r="S16" s="42" t="s">
        <v>379</v>
      </c>
      <c r="T16" s="42"/>
      <c r="U16" s="48" t="s">
        <v>485</v>
      </c>
      <c r="V16" s="50" t="s">
        <v>336</v>
      </c>
      <c r="W16" s="111" t="s">
        <v>721</v>
      </c>
      <c r="X16" s="59" t="s">
        <v>645</v>
      </c>
      <c r="Y16" s="74" t="s">
        <v>867</v>
      </c>
    </row>
    <row r="17" spans="1:25" ht="25.2" customHeight="1" x14ac:dyDescent="0.3">
      <c r="A17">
        <v>13</v>
      </c>
      <c r="B17">
        <v>102</v>
      </c>
      <c r="C17" s="29">
        <v>87</v>
      </c>
      <c r="D17" s="29">
        <v>14</v>
      </c>
      <c r="E17" s="29"/>
      <c r="F17" s="29">
        <v>15</v>
      </c>
      <c r="G17" s="29"/>
      <c r="H17" s="29"/>
      <c r="I17" s="29"/>
      <c r="J17" s="29">
        <v>15</v>
      </c>
      <c r="K17" s="29"/>
      <c r="L17" s="29" t="s">
        <v>489</v>
      </c>
      <c r="M17" s="42" t="s">
        <v>322</v>
      </c>
      <c r="N17" s="42" t="s">
        <v>321</v>
      </c>
      <c r="O17" s="29" t="s">
        <v>310</v>
      </c>
      <c r="P17" s="29">
        <v>7</v>
      </c>
      <c r="Q17" s="42" t="s">
        <v>414</v>
      </c>
      <c r="R17" s="40" t="s">
        <v>792</v>
      </c>
      <c r="S17" s="42"/>
      <c r="T17" s="42" t="s">
        <v>338</v>
      </c>
      <c r="U17" s="48" t="s">
        <v>791</v>
      </c>
      <c r="V17" s="50" t="s">
        <v>336</v>
      </c>
      <c r="W17" s="111" t="s">
        <v>720</v>
      </c>
      <c r="X17" s="59" t="s">
        <v>566</v>
      </c>
      <c r="Y17" s="86" t="s">
        <v>860</v>
      </c>
    </row>
    <row r="18" spans="1:25" ht="31.8" customHeight="1" x14ac:dyDescent="0.3">
      <c r="A18">
        <v>14</v>
      </c>
      <c r="B18">
        <v>103</v>
      </c>
      <c r="C18" s="29">
        <v>93</v>
      </c>
      <c r="D18" s="29"/>
      <c r="E18" s="29"/>
      <c r="F18" s="29"/>
      <c r="G18" s="29"/>
      <c r="H18" s="29"/>
      <c r="I18" s="29"/>
      <c r="J18" s="29">
        <v>21</v>
      </c>
      <c r="K18" s="29"/>
      <c r="L18" s="29"/>
      <c r="M18" s="42"/>
      <c r="N18" s="42"/>
      <c r="O18" s="29" t="s">
        <v>310</v>
      </c>
      <c r="P18" s="29">
        <v>9</v>
      </c>
      <c r="Q18" s="42" t="s">
        <v>279</v>
      </c>
      <c r="R18" s="40" t="s">
        <v>830</v>
      </c>
      <c r="S18" s="42" t="s">
        <v>829</v>
      </c>
      <c r="T18" s="42"/>
      <c r="U18" s="48"/>
      <c r="V18" s="50" t="s">
        <v>336</v>
      </c>
      <c r="W18" s="111" t="s">
        <v>721</v>
      </c>
      <c r="X18" s="59" t="s">
        <v>640</v>
      </c>
      <c r="Y18" s="86" t="s">
        <v>865</v>
      </c>
    </row>
    <row r="19" spans="1:25" ht="14.55" customHeight="1" x14ac:dyDescent="0.3">
      <c r="A19">
        <v>15</v>
      </c>
      <c r="B19">
        <v>104</v>
      </c>
      <c r="C19" s="29">
        <v>95</v>
      </c>
      <c r="D19" s="29"/>
      <c r="E19" s="29"/>
      <c r="F19" s="29"/>
      <c r="G19" s="29"/>
      <c r="H19" s="29"/>
      <c r="I19" s="29"/>
      <c r="J19" s="29">
        <v>23</v>
      </c>
      <c r="K19" s="29"/>
      <c r="L19" s="29"/>
      <c r="M19" s="42"/>
      <c r="N19" s="42"/>
      <c r="O19" s="29" t="s">
        <v>310</v>
      </c>
      <c r="P19" s="29">
        <v>8</v>
      </c>
      <c r="Q19" s="42" t="s">
        <v>426</v>
      </c>
      <c r="R19" s="40" t="s">
        <v>828</v>
      </c>
      <c r="S19" s="42" t="s">
        <v>377</v>
      </c>
      <c r="T19" s="42"/>
      <c r="U19" s="48"/>
      <c r="V19" s="50" t="s">
        <v>336</v>
      </c>
      <c r="W19" s="111" t="s">
        <v>721</v>
      </c>
      <c r="X19" s="59" t="s">
        <v>637</v>
      </c>
      <c r="Y19" s="74"/>
    </row>
    <row r="20" spans="1:25" ht="24" customHeight="1" x14ac:dyDescent="0.3">
      <c r="A20">
        <v>16</v>
      </c>
      <c r="B20">
        <v>110</v>
      </c>
      <c r="C20" s="29">
        <v>105</v>
      </c>
      <c r="D20" s="29"/>
      <c r="E20" s="29"/>
      <c r="F20" s="29"/>
      <c r="G20" s="29"/>
      <c r="H20" s="29"/>
      <c r="I20" s="29"/>
      <c r="J20" s="29">
        <v>33</v>
      </c>
      <c r="K20" s="29"/>
      <c r="L20" s="29"/>
      <c r="M20" s="42"/>
      <c r="N20" s="42"/>
      <c r="O20" s="29" t="s">
        <v>310</v>
      </c>
      <c r="P20" s="29">
        <v>10</v>
      </c>
      <c r="Q20" s="42" t="s">
        <v>280</v>
      </c>
      <c r="R20" s="40" t="s">
        <v>359</v>
      </c>
      <c r="S20" s="42" t="s">
        <v>378</v>
      </c>
      <c r="T20" s="42"/>
      <c r="U20" s="48"/>
      <c r="V20" s="50" t="s">
        <v>336</v>
      </c>
      <c r="W20" s="111" t="s">
        <v>721</v>
      </c>
      <c r="X20" s="59" t="s">
        <v>642</v>
      </c>
      <c r="Y20" s="74" t="s">
        <v>866</v>
      </c>
    </row>
    <row r="21" spans="1:25" ht="14.55" customHeight="1" x14ac:dyDescent="0.3">
      <c r="A21">
        <v>17</v>
      </c>
      <c r="B21">
        <v>105</v>
      </c>
      <c r="C21" s="29">
        <v>107</v>
      </c>
      <c r="D21" s="29"/>
      <c r="E21" s="29"/>
      <c r="F21" s="29">
        <v>5</v>
      </c>
      <c r="G21" s="29"/>
      <c r="H21" s="29"/>
      <c r="I21" s="29"/>
      <c r="J21" s="29">
        <v>35</v>
      </c>
      <c r="K21" s="29"/>
      <c r="L21" s="29"/>
      <c r="M21" s="42"/>
      <c r="N21" s="42"/>
      <c r="O21" s="29" t="s">
        <v>310</v>
      </c>
      <c r="P21" s="29">
        <v>2</v>
      </c>
      <c r="Q21" s="42" t="s">
        <v>410</v>
      </c>
      <c r="R21" s="40" t="s">
        <v>348</v>
      </c>
      <c r="S21" s="42"/>
      <c r="T21" s="42" t="s">
        <v>333</v>
      </c>
      <c r="U21" s="42" t="s">
        <v>783</v>
      </c>
      <c r="V21" s="50" t="s">
        <v>336</v>
      </c>
      <c r="W21" s="111" t="s">
        <v>720</v>
      </c>
      <c r="X21" s="59" t="s">
        <v>555</v>
      </c>
      <c r="Y21" s="74" t="s">
        <v>333</v>
      </c>
    </row>
    <row r="22" spans="1:25" ht="22.8" customHeight="1" x14ac:dyDescent="0.3">
      <c r="A22">
        <v>18</v>
      </c>
      <c r="B22">
        <v>109</v>
      </c>
      <c r="C22" s="29">
        <v>109</v>
      </c>
      <c r="D22" s="29"/>
      <c r="E22" s="29"/>
      <c r="F22" s="29">
        <v>1</v>
      </c>
      <c r="G22" s="29"/>
      <c r="H22" s="29"/>
      <c r="I22" s="29"/>
      <c r="J22" s="29">
        <v>37</v>
      </c>
      <c r="K22" s="29"/>
      <c r="L22" s="29"/>
      <c r="M22" s="42" t="s">
        <v>57</v>
      </c>
      <c r="N22" s="42" t="s">
        <v>64</v>
      </c>
      <c r="O22" s="29" t="s">
        <v>310</v>
      </c>
      <c r="P22" s="29">
        <v>3</v>
      </c>
      <c r="Q22" s="42" t="s">
        <v>411</v>
      </c>
      <c r="R22" s="40" t="s">
        <v>349</v>
      </c>
      <c r="S22" s="42" t="s">
        <v>790</v>
      </c>
      <c r="T22" s="42" t="s">
        <v>334</v>
      </c>
      <c r="U22" s="42" t="s">
        <v>64</v>
      </c>
      <c r="V22" s="29" t="s">
        <v>335</v>
      </c>
      <c r="W22" s="111" t="s">
        <v>888</v>
      </c>
      <c r="X22" s="59" t="s">
        <v>557</v>
      </c>
      <c r="Y22" s="74"/>
    </row>
    <row r="23" spans="1:25" ht="25.2" hidden="1" customHeight="1" x14ac:dyDescent="0.3">
      <c r="A23">
        <v>19</v>
      </c>
      <c r="C23" s="29">
        <v>104</v>
      </c>
      <c r="D23" s="29"/>
      <c r="E23" s="29"/>
      <c r="F23" s="29"/>
      <c r="G23" s="29">
        <v>3</v>
      </c>
      <c r="H23" s="29"/>
      <c r="I23" s="29"/>
      <c r="J23" s="29"/>
      <c r="K23" s="29">
        <v>32</v>
      </c>
      <c r="L23" s="29"/>
      <c r="M23" s="42"/>
      <c r="N23" s="42"/>
      <c r="O23" s="29" t="s">
        <v>205</v>
      </c>
      <c r="P23" s="29" t="s">
        <v>205</v>
      </c>
      <c r="Q23" s="42"/>
      <c r="R23" s="40"/>
      <c r="S23" s="42"/>
      <c r="T23" s="42"/>
      <c r="U23" s="48"/>
      <c r="V23" s="50" t="s">
        <v>33</v>
      </c>
      <c r="W23" s="111" t="s">
        <v>205</v>
      </c>
      <c r="X23" s="59" t="s">
        <v>205</v>
      </c>
      <c r="Y23" s="74"/>
    </row>
    <row r="24" spans="1:25" ht="22.8" hidden="1" customHeight="1" x14ac:dyDescent="0.3">
      <c r="A24">
        <v>20</v>
      </c>
      <c r="C24" s="29">
        <v>79</v>
      </c>
      <c r="D24" s="29">
        <v>6</v>
      </c>
      <c r="E24" s="29"/>
      <c r="F24" s="29"/>
      <c r="G24" s="29">
        <v>1</v>
      </c>
      <c r="H24" s="29"/>
      <c r="I24" s="29"/>
      <c r="J24" s="29">
        <v>7</v>
      </c>
      <c r="K24" s="29"/>
      <c r="L24" s="29"/>
      <c r="M24" s="42"/>
      <c r="N24" s="42"/>
      <c r="O24" s="29" t="s">
        <v>199</v>
      </c>
      <c r="P24" s="29" t="s">
        <v>199</v>
      </c>
      <c r="Q24" s="42"/>
      <c r="R24" s="40"/>
      <c r="S24" s="42"/>
      <c r="T24" s="42"/>
      <c r="U24" s="48"/>
      <c r="V24" s="50" t="s">
        <v>33</v>
      </c>
      <c r="W24" s="111"/>
      <c r="X24" s="59"/>
      <c r="Y24" s="86"/>
    </row>
    <row r="25" spans="1:25" ht="34.200000000000003" x14ac:dyDescent="0.3">
      <c r="A25">
        <v>21</v>
      </c>
      <c r="B25">
        <v>46</v>
      </c>
      <c r="C25" s="29">
        <v>21</v>
      </c>
      <c r="D25" s="29"/>
      <c r="E25" s="29"/>
      <c r="F25" s="29"/>
      <c r="G25" s="29"/>
      <c r="H25" s="29">
        <v>21</v>
      </c>
      <c r="I25" s="29"/>
      <c r="J25" s="29"/>
      <c r="K25" s="29"/>
      <c r="L25" s="29"/>
      <c r="M25" s="42" t="s">
        <v>398</v>
      </c>
      <c r="N25" s="42" t="s">
        <v>398</v>
      </c>
      <c r="O25" s="29" t="s">
        <v>311</v>
      </c>
      <c r="P25" s="29">
        <v>7</v>
      </c>
      <c r="Q25" s="42" t="s">
        <v>398</v>
      </c>
      <c r="R25" s="40" t="s">
        <v>848</v>
      </c>
      <c r="S25" s="42"/>
      <c r="T25" s="42"/>
      <c r="U25" s="48" t="s">
        <v>384</v>
      </c>
      <c r="V25" s="50" t="s">
        <v>435</v>
      </c>
      <c r="W25" s="111" t="s">
        <v>881</v>
      </c>
      <c r="X25" s="59" t="s">
        <v>712</v>
      </c>
      <c r="Y25" s="74" t="s">
        <v>743</v>
      </c>
    </row>
    <row r="26" spans="1:25" ht="37.200000000000003" customHeight="1" x14ac:dyDescent="0.3">
      <c r="A26">
        <v>22</v>
      </c>
      <c r="B26">
        <v>47</v>
      </c>
      <c r="C26" s="29">
        <v>34</v>
      </c>
      <c r="D26" s="29"/>
      <c r="E26" s="29"/>
      <c r="F26" s="29"/>
      <c r="G26" s="29">
        <v>31</v>
      </c>
      <c r="H26" s="29"/>
      <c r="I26" s="29">
        <v>34</v>
      </c>
      <c r="J26" s="29"/>
      <c r="K26" s="29"/>
      <c r="L26" s="29"/>
      <c r="M26" s="42" t="s">
        <v>237</v>
      </c>
      <c r="N26" s="42" t="s">
        <v>401</v>
      </c>
      <c r="O26" s="29" t="s">
        <v>311</v>
      </c>
      <c r="P26" s="29">
        <v>0</v>
      </c>
      <c r="Q26" s="42" t="s">
        <v>399</v>
      </c>
      <c r="R26" s="40" t="s">
        <v>796</v>
      </c>
      <c r="S26" s="42" t="s">
        <v>797</v>
      </c>
      <c r="T26" s="42" t="s">
        <v>339</v>
      </c>
      <c r="U26" s="42" t="s">
        <v>795</v>
      </c>
      <c r="V26" s="42" t="s">
        <v>383</v>
      </c>
      <c r="W26" s="113" t="s">
        <v>892</v>
      </c>
      <c r="X26" s="59" t="s">
        <v>698</v>
      </c>
      <c r="Y26" s="86" t="s">
        <v>741</v>
      </c>
    </row>
    <row r="27" spans="1:25" ht="14.55" customHeight="1" x14ac:dyDescent="0.3">
      <c r="A27">
        <v>23</v>
      </c>
      <c r="B27">
        <v>48</v>
      </c>
      <c r="C27" s="29">
        <v>75</v>
      </c>
      <c r="D27" s="29">
        <v>2</v>
      </c>
      <c r="E27" s="29"/>
      <c r="F27" s="29"/>
      <c r="G27" s="29"/>
      <c r="H27" s="29"/>
      <c r="I27" s="29"/>
      <c r="J27" s="29">
        <v>3</v>
      </c>
      <c r="K27" s="29"/>
      <c r="L27" s="29"/>
      <c r="M27" s="42" t="s">
        <v>172</v>
      </c>
      <c r="N27" s="42" t="s">
        <v>176</v>
      </c>
      <c r="O27" s="29" t="s">
        <v>311</v>
      </c>
      <c r="P27" s="29">
        <v>8</v>
      </c>
      <c r="Q27" s="42" t="s">
        <v>432</v>
      </c>
      <c r="R27" s="40" t="s">
        <v>176</v>
      </c>
      <c r="S27" s="42"/>
      <c r="T27" s="42" t="s">
        <v>327</v>
      </c>
      <c r="U27" s="48" t="s">
        <v>849</v>
      </c>
      <c r="V27" s="50" t="s">
        <v>335</v>
      </c>
      <c r="W27" s="111" t="s">
        <v>450</v>
      </c>
      <c r="X27" s="59" t="s">
        <v>708</v>
      </c>
      <c r="Y27" s="59" t="s">
        <v>708</v>
      </c>
    </row>
    <row r="28" spans="1:25" ht="45.6" x14ac:dyDescent="0.3">
      <c r="A28">
        <v>24</v>
      </c>
      <c r="B28">
        <v>133</v>
      </c>
      <c r="C28" s="29">
        <v>77</v>
      </c>
      <c r="D28" s="29">
        <v>4</v>
      </c>
      <c r="E28" s="29"/>
      <c r="F28" s="29"/>
      <c r="G28" s="29"/>
      <c r="H28" s="29"/>
      <c r="I28" s="29"/>
      <c r="J28" s="29">
        <v>5</v>
      </c>
      <c r="K28" s="29"/>
      <c r="L28" s="29"/>
      <c r="M28" s="42" t="s">
        <v>179</v>
      </c>
      <c r="N28" s="42" t="s">
        <v>198</v>
      </c>
      <c r="O28" s="29" t="s">
        <v>311</v>
      </c>
      <c r="P28" s="29">
        <v>9</v>
      </c>
      <c r="Q28" s="42" t="s">
        <v>433</v>
      </c>
      <c r="R28" s="40" t="s">
        <v>850</v>
      </c>
      <c r="S28" s="42"/>
      <c r="T28" s="42"/>
      <c r="U28" s="48" t="s">
        <v>851</v>
      </c>
      <c r="V28" s="50"/>
      <c r="W28" s="111" t="s">
        <v>723</v>
      </c>
      <c r="X28" s="59" t="s">
        <v>695</v>
      </c>
      <c r="Y28" s="86"/>
    </row>
    <row r="29" spans="1:25" ht="45.6" x14ac:dyDescent="0.3">
      <c r="A29">
        <v>25</v>
      </c>
      <c r="B29">
        <v>134</v>
      </c>
      <c r="C29" s="29">
        <v>88</v>
      </c>
      <c r="D29" s="29">
        <v>7</v>
      </c>
      <c r="E29" s="29"/>
      <c r="F29" s="29"/>
      <c r="G29" s="29"/>
      <c r="H29" s="29"/>
      <c r="I29" s="29"/>
      <c r="J29" s="29"/>
      <c r="K29" s="29">
        <v>16</v>
      </c>
      <c r="L29" s="29"/>
      <c r="M29" s="42" t="s">
        <v>151</v>
      </c>
      <c r="N29" s="42" t="s">
        <v>174</v>
      </c>
      <c r="O29" s="29" t="s">
        <v>311</v>
      </c>
      <c r="P29" s="29">
        <v>12</v>
      </c>
      <c r="Q29" s="42" t="s">
        <v>417</v>
      </c>
      <c r="R29" s="40" t="s">
        <v>810</v>
      </c>
      <c r="S29" s="42" t="s">
        <v>812</v>
      </c>
      <c r="T29" s="42" t="s">
        <v>342</v>
      </c>
      <c r="U29" s="42" t="s">
        <v>811</v>
      </c>
      <c r="V29" s="29" t="s">
        <v>335</v>
      </c>
      <c r="W29" s="111" t="s">
        <v>723</v>
      </c>
      <c r="X29" s="59" t="s">
        <v>596</v>
      </c>
      <c r="Y29" s="86"/>
    </row>
    <row r="30" spans="1:25" ht="34.200000000000003" x14ac:dyDescent="0.3">
      <c r="A30">
        <v>26</v>
      </c>
      <c r="B30">
        <v>135</v>
      </c>
      <c r="C30" s="29">
        <v>89</v>
      </c>
      <c r="D30" s="29"/>
      <c r="E30" s="29"/>
      <c r="F30" s="29"/>
      <c r="G30" s="29">
        <v>13</v>
      </c>
      <c r="H30" s="29"/>
      <c r="I30" s="29"/>
      <c r="J30" s="29">
        <v>17</v>
      </c>
      <c r="K30" s="29"/>
      <c r="L30" s="29"/>
      <c r="M30" s="42" t="s">
        <v>216</v>
      </c>
      <c r="N30" s="42" t="s">
        <v>274</v>
      </c>
      <c r="O30" s="29" t="s">
        <v>311</v>
      </c>
      <c r="P30" s="29">
        <v>6</v>
      </c>
      <c r="Q30" s="42" t="s">
        <v>420</v>
      </c>
      <c r="R30" s="40" t="s">
        <v>846</v>
      </c>
      <c r="S30" s="42"/>
      <c r="T30" s="42"/>
      <c r="U30" s="48" t="s">
        <v>847</v>
      </c>
      <c r="V30" s="50"/>
      <c r="W30" s="111" t="s">
        <v>477</v>
      </c>
      <c r="X30" s="59" t="s">
        <v>711</v>
      </c>
      <c r="Y30" s="86" t="s">
        <v>742</v>
      </c>
    </row>
    <row r="31" spans="1:25" ht="45.6" x14ac:dyDescent="0.3">
      <c r="A31">
        <v>27</v>
      </c>
      <c r="B31">
        <v>136</v>
      </c>
      <c r="C31" s="29">
        <v>90</v>
      </c>
      <c r="D31" s="29"/>
      <c r="E31" s="29"/>
      <c r="F31" s="29"/>
      <c r="G31" s="29">
        <v>34</v>
      </c>
      <c r="H31" s="29"/>
      <c r="I31" s="29"/>
      <c r="J31" s="29"/>
      <c r="K31" s="29">
        <v>18</v>
      </c>
      <c r="L31" s="29"/>
      <c r="M31" s="42" t="s">
        <v>303</v>
      </c>
      <c r="N31" s="42" t="s">
        <v>305</v>
      </c>
      <c r="O31" s="29" t="s">
        <v>311</v>
      </c>
      <c r="P31" s="29">
        <v>11</v>
      </c>
      <c r="Q31" s="42" t="s">
        <v>305</v>
      </c>
      <c r="R31" s="40" t="s">
        <v>352</v>
      </c>
      <c r="S31" s="42" t="s">
        <v>809</v>
      </c>
      <c r="T31" s="42" t="s">
        <v>345</v>
      </c>
      <c r="U31" s="48"/>
      <c r="V31" s="50" t="s">
        <v>335</v>
      </c>
      <c r="W31" s="43" t="s">
        <v>455</v>
      </c>
      <c r="X31" s="59" t="s">
        <v>595</v>
      </c>
      <c r="Y31" s="109" t="s">
        <v>455</v>
      </c>
    </row>
    <row r="32" spans="1:25" ht="22.8" hidden="1" x14ac:dyDescent="0.3">
      <c r="A32">
        <v>28</v>
      </c>
      <c r="B32">
        <v>137</v>
      </c>
      <c r="C32" s="29">
        <v>94</v>
      </c>
      <c r="D32" s="29"/>
      <c r="E32" s="29"/>
      <c r="F32" s="29"/>
      <c r="G32" s="29">
        <v>15</v>
      </c>
      <c r="H32" s="29"/>
      <c r="I32" s="29"/>
      <c r="J32" s="29"/>
      <c r="K32" s="29">
        <v>22</v>
      </c>
      <c r="L32" s="29"/>
      <c r="M32" s="42" t="s">
        <v>219</v>
      </c>
      <c r="N32" s="42" t="s">
        <v>219</v>
      </c>
      <c r="O32" s="29" t="s">
        <v>311</v>
      </c>
      <c r="P32" s="29">
        <v>2</v>
      </c>
      <c r="Q32" s="42"/>
      <c r="R32" s="40" t="s">
        <v>799</v>
      </c>
      <c r="S32" s="42"/>
      <c r="T32" s="42"/>
      <c r="U32" s="42" t="s">
        <v>389</v>
      </c>
      <c r="V32" s="29"/>
      <c r="W32" s="43" t="s">
        <v>725</v>
      </c>
      <c r="X32" s="59" t="s">
        <v>700</v>
      </c>
      <c r="Y32" s="109" t="s">
        <v>725</v>
      </c>
    </row>
    <row r="33" spans="1:25" ht="45" customHeight="1" x14ac:dyDescent="0.3">
      <c r="A33">
        <v>29</v>
      </c>
      <c r="B33">
        <v>139</v>
      </c>
      <c r="C33" s="29">
        <v>96</v>
      </c>
      <c r="D33" s="29"/>
      <c r="E33" s="29"/>
      <c r="F33" s="29"/>
      <c r="G33" s="29">
        <v>7</v>
      </c>
      <c r="H33" s="29"/>
      <c r="I33" s="29"/>
      <c r="J33" s="29"/>
      <c r="K33" s="29">
        <v>24</v>
      </c>
      <c r="L33" s="29"/>
      <c r="M33" s="42" t="s">
        <v>207</v>
      </c>
      <c r="N33" s="42" t="s">
        <v>271</v>
      </c>
      <c r="O33" s="29" t="s">
        <v>311</v>
      </c>
      <c r="P33" s="29">
        <v>1</v>
      </c>
      <c r="Q33" s="42" t="s">
        <v>415</v>
      </c>
      <c r="R33" s="40"/>
      <c r="S33" s="42" t="s">
        <v>798</v>
      </c>
      <c r="T33" s="42" t="s">
        <v>340</v>
      </c>
      <c r="U33" s="48" t="s">
        <v>271</v>
      </c>
      <c r="V33" s="50" t="s">
        <v>335</v>
      </c>
      <c r="W33" s="111" t="s">
        <v>884</v>
      </c>
      <c r="X33" s="59" t="s">
        <v>699</v>
      </c>
      <c r="Y33" s="59"/>
    </row>
    <row r="34" spans="1:25" ht="34.200000000000003" x14ac:dyDescent="0.3">
      <c r="A34">
        <v>30</v>
      </c>
      <c r="B34">
        <v>140</v>
      </c>
      <c r="C34" s="29">
        <v>97</v>
      </c>
      <c r="D34" s="29"/>
      <c r="E34" s="29"/>
      <c r="F34" s="29"/>
      <c r="G34" s="29">
        <v>32</v>
      </c>
      <c r="H34" s="29"/>
      <c r="I34" s="29"/>
      <c r="J34" s="29">
        <v>25</v>
      </c>
      <c r="K34" s="29"/>
      <c r="L34" s="29"/>
      <c r="M34" s="42" t="s">
        <v>300</v>
      </c>
      <c r="N34" s="42" t="s">
        <v>302</v>
      </c>
      <c r="O34" s="29" t="s">
        <v>311</v>
      </c>
      <c r="P34" s="29">
        <v>10</v>
      </c>
      <c r="Q34" s="42" t="s">
        <v>302</v>
      </c>
      <c r="R34" s="40" t="s">
        <v>807</v>
      </c>
      <c r="S34" s="42" t="s">
        <v>808</v>
      </c>
      <c r="T34" s="42" t="s">
        <v>341</v>
      </c>
      <c r="U34" s="48"/>
      <c r="V34" s="50" t="s">
        <v>335</v>
      </c>
      <c r="W34" s="111" t="s">
        <v>723</v>
      </c>
      <c r="X34" s="59" t="s">
        <v>594</v>
      </c>
      <c r="Y34" s="74" t="s">
        <v>729</v>
      </c>
    </row>
    <row r="35" spans="1:25" ht="55.2" customHeight="1" x14ac:dyDescent="0.3">
      <c r="A35">
        <v>31</v>
      </c>
      <c r="B35">
        <v>69</v>
      </c>
      <c r="C35" s="29">
        <v>98</v>
      </c>
      <c r="D35" s="29">
        <v>3</v>
      </c>
      <c r="E35" s="29"/>
      <c r="F35" s="29"/>
      <c r="G35" s="29"/>
      <c r="H35" s="29"/>
      <c r="I35" s="29"/>
      <c r="J35" s="29"/>
      <c r="K35" s="29">
        <v>26</v>
      </c>
      <c r="L35" s="29"/>
      <c r="M35" s="42" t="s">
        <v>145</v>
      </c>
      <c r="N35" s="42" t="s">
        <v>174</v>
      </c>
      <c r="O35" s="29" t="s">
        <v>311</v>
      </c>
      <c r="P35" s="29">
        <v>15</v>
      </c>
      <c r="Q35" s="42" t="s">
        <v>419</v>
      </c>
      <c r="R35" s="40" t="s">
        <v>775</v>
      </c>
      <c r="S35" s="42" t="s">
        <v>817</v>
      </c>
      <c r="T35" s="42"/>
      <c r="U35" s="42"/>
      <c r="V35" s="29"/>
      <c r="W35" s="111" t="s">
        <v>723</v>
      </c>
      <c r="X35" s="59" t="s">
        <v>605</v>
      </c>
      <c r="Y35" s="86"/>
    </row>
    <row r="36" spans="1:25" ht="28.8" customHeight="1" x14ac:dyDescent="0.3">
      <c r="A36">
        <v>32</v>
      </c>
      <c r="B36">
        <v>70</v>
      </c>
      <c r="C36" s="29">
        <v>99</v>
      </c>
      <c r="D36" s="29">
        <v>19</v>
      </c>
      <c r="E36" s="29"/>
      <c r="F36" s="29"/>
      <c r="G36" s="29"/>
      <c r="H36" s="29"/>
      <c r="I36" s="29"/>
      <c r="J36" s="29">
        <v>27</v>
      </c>
      <c r="K36" s="29"/>
      <c r="L36" s="29"/>
      <c r="M36" s="42" t="s">
        <v>169</v>
      </c>
      <c r="N36" s="42" t="s">
        <v>175</v>
      </c>
      <c r="O36" s="29" t="s">
        <v>311</v>
      </c>
      <c r="P36" s="29">
        <v>4</v>
      </c>
      <c r="Q36" s="42" t="s">
        <v>430</v>
      </c>
      <c r="R36" s="40" t="s">
        <v>843</v>
      </c>
      <c r="S36" s="42"/>
      <c r="T36" s="42"/>
      <c r="U36" s="42"/>
      <c r="V36" s="29"/>
      <c r="W36" s="43" t="s">
        <v>479</v>
      </c>
      <c r="X36" s="59" t="s">
        <v>709</v>
      </c>
      <c r="Y36" s="59" t="s">
        <v>872</v>
      </c>
    </row>
    <row r="37" spans="1:25" ht="54.6" customHeight="1" x14ac:dyDescent="0.3">
      <c r="A37">
        <v>33</v>
      </c>
      <c r="B37">
        <v>73</v>
      </c>
      <c r="C37" s="29">
        <v>100</v>
      </c>
      <c r="D37" s="29"/>
      <c r="E37" s="29"/>
      <c r="F37" s="29"/>
      <c r="G37" s="29"/>
      <c r="H37" s="29"/>
      <c r="I37" s="29"/>
      <c r="J37" s="29"/>
      <c r="K37" s="29">
        <v>28</v>
      </c>
      <c r="L37" s="29"/>
      <c r="M37" s="42"/>
      <c r="N37" s="42" t="s">
        <v>400</v>
      </c>
      <c r="O37" s="29" t="s">
        <v>311</v>
      </c>
      <c r="P37" s="29">
        <v>14</v>
      </c>
      <c r="Q37" s="42" t="s">
        <v>418</v>
      </c>
      <c r="R37" s="40" t="s">
        <v>815</v>
      </c>
      <c r="S37" s="42" t="s">
        <v>816</v>
      </c>
      <c r="T37" s="42"/>
      <c r="U37" s="42" t="s">
        <v>385</v>
      </c>
      <c r="V37" s="50" t="s">
        <v>435</v>
      </c>
      <c r="W37" s="43" t="s">
        <v>880</v>
      </c>
      <c r="X37" s="59" t="s">
        <v>602</v>
      </c>
      <c r="Y37" s="74" t="s">
        <v>751</v>
      </c>
    </row>
    <row r="38" spans="1:25" ht="25.8" customHeight="1" x14ac:dyDescent="0.3">
      <c r="A38">
        <v>34</v>
      </c>
      <c r="B38">
        <v>74</v>
      </c>
      <c r="C38" s="29">
        <v>101</v>
      </c>
      <c r="D38" s="29">
        <v>13</v>
      </c>
      <c r="E38" s="29"/>
      <c r="F38" s="29"/>
      <c r="G38" s="29"/>
      <c r="H38" s="29"/>
      <c r="I38" s="29"/>
      <c r="J38" s="29">
        <v>29</v>
      </c>
      <c r="K38" s="29"/>
      <c r="L38" s="29"/>
      <c r="M38" s="42" t="s">
        <v>160</v>
      </c>
      <c r="N38" s="42" t="s">
        <v>175</v>
      </c>
      <c r="O38" s="29" t="s">
        <v>311</v>
      </c>
      <c r="P38" s="29">
        <v>5</v>
      </c>
      <c r="Q38" s="42" t="s">
        <v>431</v>
      </c>
      <c r="R38" s="40" t="s">
        <v>845</v>
      </c>
      <c r="S38" s="42" t="s">
        <v>844</v>
      </c>
      <c r="T38" s="42" t="s">
        <v>344</v>
      </c>
      <c r="U38" s="42" t="s">
        <v>811</v>
      </c>
      <c r="V38" s="50" t="s">
        <v>335</v>
      </c>
      <c r="W38" s="43" t="s">
        <v>480</v>
      </c>
      <c r="X38" s="59" t="s">
        <v>710</v>
      </c>
      <c r="Y38" s="86" t="s">
        <v>871</v>
      </c>
    </row>
    <row r="39" spans="1:25" ht="57" x14ac:dyDescent="0.3">
      <c r="A39">
        <v>35</v>
      </c>
      <c r="B39">
        <v>75</v>
      </c>
      <c r="C39" s="29">
        <v>102</v>
      </c>
      <c r="D39" s="29">
        <v>5</v>
      </c>
      <c r="E39" s="29"/>
      <c r="F39" s="29"/>
      <c r="G39" s="29"/>
      <c r="H39" s="29"/>
      <c r="I39" s="29"/>
      <c r="J39" s="29"/>
      <c r="K39" s="29">
        <v>30</v>
      </c>
      <c r="L39" s="29" t="s">
        <v>488</v>
      </c>
      <c r="M39" s="42" t="s">
        <v>148</v>
      </c>
      <c r="N39" s="42" t="s">
        <v>174</v>
      </c>
      <c r="O39" s="29" t="s">
        <v>311</v>
      </c>
      <c r="P39" s="29">
        <v>13</v>
      </c>
      <c r="Q39" s="42" t="s">
        <v>282</v>
      </c>
      <c r="R39" s="40" t="s">
        <v>813</v>
      </c>
      <c r="S39" s="42" t="s">
        <v>814</v>
      </c>
      <c r="T39" s="42" t="s">
        <v>343</v>
      </c>
      <c r="U39" s="48" t="s">
        <v>367</v>
      </c>
      <c r="V39" s="50" t="s">
        <v>336</v>
      </c>
      <c r="W39" s="111" t="s">
        <v>720</v>
      </c>
      <c r="X39" s="59" t="s">
        <v>599</v>
      </c>
      <c r="Y39" s="74" t="s">
        <v>863</v>
      </c>
    </row>
    <row r="40" spans="1:25" ht="25.8" customHeight="1" x14ac:dyDescent="0.3">
      <c r="A40">
        <v>36</v>
      </c>
      <c r="B40">
        <v>76</v>
      </c>
      <c r="C40" s="29">
        <v>103</v>
      </c>
      <c r="D40" s="29">
        <v>15</v>
      </c>
      <c r="E40" s="29"/>
      <c r="F40" s="29"/>
      <c r="G40" s="29"/>
      <c r="H40" s="29"/>
      <c r="I40" s="29"/>
      <c r="J40" s="29">
        <v>31</v>
      </c>
      <c r="K40" s="29"/>
      <c r="L40" s="29"/>
      <c r="M40" s="42" t="s">
        <v>163</v>
      </c>
      <c r="N40" s="42" t="s">
        <v>320</v>
      </c>
      <c r="O40" s="29" t="s">
        <v>311</v>
      </c>
      <c r="P40" s="29">
        <v>3</v>
      </c>
      <c r="Q40" s="42" t="s">
        <v>429</v>
      </c>
      <c r="R40" s="40" t="s">
        <v>842</v>
      </c>
      <c r="S40" s="42"/>
      <c r="T40" s="42"/>
      <c r="U40" s="42" t="s">
        <v>436</v>
      </c>
      <c r="V40" s="29" t="s">
        <v>435</v>
      </c>
      <c r="W40" s="43" t="s">
        <v>719</v>
      </c>
      <c r="X40" s="59" t="s">
        <v>682</v>
      </c>
      <c r="Y40" s="86" t="s">
        <v>873</v>
      </c>
    </row>
    <row r="41" spans="1:25" ht="14.55" hidden="1" customHeight="1" x14ac:dyDescent="0.3">
      <c r="A41">
        <v>37</v>
      </c>
      <c r="B41">
        <v>138</v>
      </c>
      <c r="C41" s="29">
        <v>7</v>
      </c>
      <c r="D41" s="29"/>
      <c r="E41" s="29"/>
      <c r="F41" s="29"/>
      <c r="G41" s="29"/>
      <c r="H41" s="29">
        <v>7</v>
      </c>
      <c r="I41" s="29"/>
      <c r="J41" s="29"/>
      <c r="K41" s="29"/>
      <c r="L41" s="29"/>
      <c r="M41" s="40" t="s">
        <v>486</v>
      </c>
      <c r="N41" s="40" t="s">
        <v>486</v>
      </c>
      <c r="O41" s="29" t="s">
        <v>486</v>
      </c>
      <c r="P41" s="29" t="s">
        <v>486</v>
      </c>
      <c r="Q41" s="42"/>
      <c r="R41" s="40"/>
      <c r="S41" s="42"/>
      <c r="T41" s="42"/>
      <c r="U41" s="43" t="s">
        <v>395</v>
      </c>
      <c r="V41" s="29" t="s">
        <v>335</v>
      </c>
      <c r="W41" s="111" t="s">
        <v>395</v>
      </c>
      <c r="X41" s="59"/>
      <c r="Y41" s="74"/>
    </row>
    <row r="42" spans="1:25" ht="30" hidden="1" customHeight="1" x14ac:dyDescent="0.3">
      <c r="A42">
        <v>38</v>
      </c>
      <c r="B42">
        <v>26</v>
      </c>
      <c r="C42" s="29">
        <v>1</v>
      </c>
      <c r="D42" s="29"/>
      <c r="E42" s="29">
        <v>6</v>
      </c>
      <c r="F42" s="29"/>
      <c r="G42" s="29"/>
      <c r="H42" s="29">
        <v>1</v>
      </c>
      <c r="I42" s="29"/>
      <c r="J42" s="29"/>
      <c r="K42" s="29"/>
      <c r="L42" s="29"/>
      <c r="M42" s="42" t="s">
        <v>28</v>
      </c>
      <c r="N42" s="42" t="s">
        <v>48</v>
      </c>
      <c r="O42" s="29" t="s">
        <v>312</v>
      </c>
      <c r="P42" s="29">
        <v>10</v>
      </c>
      <c r="Q42" s="42"/>
      <c r="R42" s="40" t="s">
        <v>834</v>
      </c>
      <c r="S42" s="42"/>
      <c r="T42" s="42"/>
      <c r="U42" s="42" t="s">
        <v>28</v>
      </c>
      <c r="V42" s="29" t="s">
        <v>335</v>
      </c>
      <c r="W42" s="111" t="s">
        <v>371</v>
      </c>
      <c r="X42" s="59" t="s">
        <v>657</v>
      </c>
      <c r="Y42" s="86" t="s">
        <v>657</v>
      </c>
    </row>
    <row r="43" spans="1:25" ht="91.2" hidden="1" x14ac:dyDescent="0.3">
      <c r="A43">
        <v>39</v>
      </c>
      <c r="B43">
        <v>27</v>
      </c>
      <c r="C43" s="29">
        <v>2</v>
      </c>
      <c r="D43" s="29"/>
      <c r="E43" s="29">
        <v>8</v>
      </c>
      <c r="F43" s="29"/>
      <c r="G43" s="29"/>
      <c r="H43" s="29"/>
      <c r="I43" s="29">
        <v>2</v>
      </c>
      <c r="J43" s="29"/>
      <c r="K43" s="29"/>
      <c r="L43" s="29"/>
      <c r="M43" s="42" t="s">
        <v>29</v>
      </c>
      <c r="N43" s="42" t="s">
        <v>48</v>
      </c>
      <c r="O43" s="29" t="s">
        <v>312</v>
      </c>
      <c r="P43" s="29">
        <v>11</v>
      </c>
      <c r="Q43" s="42"/>
      <c r="R43" s="40" t="s">
        <v>835</v>
      </c>
      <c r="S43" s="42"/>
      <c r="T43" s="42"/>
      <c r="U43" s="42" t="s">
        <v>29</v>
      </c>
      <c r="V43" s="29" t="s">
        <v>335</v>
      </c>
      <c r="W43" s="111" t="s">
        <v>370</v>
      </c>
      <c r="X43" s="59" t="s">
        <v>659</v>
      </c>
      <c r="Y43" s="86" t="s">
        <v>659</v>
      </c>
    </row>
    <row r="44" spans="1:25" ht="68.400000000000006" hidden="1" x14ac:dyDescent="0.3">
      <c r="A44">
        <v>40</v>
      </c>
      <c r="B44">
        <v>28</v>
      </c>
      <c r="C44" s="29">
        <v>3</v>
      </c>
      <c r="D44" s="29"/>
      <c r="E44" s="29">
        <v>10</v>
      </c>
      <c r="F44" s="29"/>
      <c r="G44" s="29"/>
      <c r="H44" s="29">
        <v>3</v>
      </c>
      <c r="I44" s="29"/>
      <c r="J44" s="29"/>
      <c r="K44" s="29"/>
      <c r="L44" s="29"/>
      <c r="M44" s="42" t="s">
        <v>30</v>
      </c>
      <c r="N44" s="42" t="s">
        <v>48</v>
      </c>
      <c r="O44" s="29" t="s">
        <v>312</v>
      </c>
      <c r="P44" s="29">
        <v>12</v>
      </c>
      <c r="Q44" s="42"/>
      <c r="R44" s="40" t="s">
        <v>836</v>
      </c>
      <c r="S44" s="42"/>
      <c r="T44" s="42"/>
      <c r="U44" s="42" t="s">
        <v>30</v>
      </c>
      <c r="V44" s="29" t="s">
        <v>335</v>
      </c>
      <c r="W44" s="111" t="s">
        <v>374</v>
      </c>
      <c r="X44" s="59" t="s">
        <v>661</v>
      </c>
      <c r="Y44" s="59" t="s">
        <v>661</v>
      </c>
    </row>
    <row r="45" spans="1:25" ht="25.2" hidden="1" customHeight="1" x14ac:dyDescent="0.3">
      <c r="A45">
        <v>41</v>
      </c>
      <c r="B45">
        <v>29</v>
      </c>
      <c r="C45" s="29">
        <v>23</v>
      </c>
      <c r="D45" s="52"/>
      <c r="E45" s="52"/>
      <c r="F45" s="52"/>
      <c r="G45" s="52"/>
      <c r="H45" s="50">
        <v>23</v>
      </c>
      <c r="I45" s="50"/>
      <c r="J45" s="50"/>
      <c r="K45" s="50"/>
      <c r="L45" s="50"/>
      <c r="M45" s="48"/>
      <c r="N45" s="48"/>
      <c r="O45" s="29" t="s">
        <v>312</v>
      </c>
      <c r="P45" s="52">
        <v>13</v>
      </c>
      <c r="Q45" s="42"/>
      <c r="R45" s="51"/>
      <c r="S45" s="48"/>
      <c r="T45" s="48"/>
      <c r="U45" s="48" t="s">
        <v>390</v>
      </c>
      <c r="V45" s="50" t="s">
        <v>336</v>
      </c>
      <c r="W45" s="114" t="s">
        <v>882</v>
      </c>
      <c r="X45" s="59" t="s">
        <v>509</v>
      </c>
      <c r="Y45" s="86" t="s">
        <v>730</v>
      </c>
    </row>
    <row r="46" spans="1:25" ht="27.45" hidden="1" customHeight="1" x14ac:dyDescent="0.3">
      <c r="A46">
        <v>42</v>
      </c>
      <c r="B46">
        <v>44</v>
      </c>
      <c r="C46" s="29">
        <v>25</v>
      </c>
      <c r="D46" s="52"/>
      <c r="E46" s="52"/>
      <c r="F46" s="52"/>
      <c r="G46" s="52"/>
      <c r="H46" s="50">
        <v>25</v>
      </c>
      <c r="I46" s="50"/>
      <c r="J46" s="50"/>
      <c r="K46" s="50"/>
      <c r="L46" s="50"/>
      <c r="M46" s="48"/>
      <c r="N46" s="48"/>
      <c r="O46" s="29" t="s">
        <v>312</v>
      </c>
      <c r="P46" s="52">
        <v>14</v>
      </c>
      <c r="Q46" s="42"/>
      <c r="R46" s="51"/>
      <c r="S46" s="48"/>
      <c r="T46" s="48"/>
      <c r="U46" s="48" t="s">
        <v>387</v>
      </c>
      <c r="V46" s="50" t="s">
        <v>336</v>
      </c>
      <c r="W46" s="114" t="s">
        <v>512</v>
      </c>
      <c r="X46" s="59" t="s">
        <v>512</v>
      </c>
      <c r="Y46" s="59" t="s">
        <v>512</v>
      </c>
    </row>
    <row r="47" spans="1:25" ht="25.8" hidden="1" customHeight="1" x14ac:dyDescent="0.3">
      <c r="A47">
        <v>43</v>
      </c>
      <c r="B47">
        <v>45</v>
      </c>
      <c r="C47" s="29">
        <v>27</v>
      </c>
      <c r="D47" s="52"/>
      <c r="E47" s="52"/>
      <c r="F47" s="52"/>
      <c r="G47" s="52"/>
      <c r="H47" s="50">
        <v>27</v>
      </c>
      <c r="I47" s="50"/>
      <c r="J47" s="50"/>
      <c r="K47" s="50"/>
      <c r="L47" s="50"/>
      <c r="M47" s="48"/>
      <c r="N47" s="48"/>
      <c r="O47" s="29" t="s">
        <v>312</v>
      </c>
      <c r="P47" s="52">
        <v>15</v>
      </c>
      <c r="Q47" s="42"/>
      <c r="R47" s="51"/>
      <c r="S47" s="48"/>
      <c r="T47" s="48"/>
      <c r="U47" s="40" t="s">
        <v>387</v>
      </c>
      <c r="V47" s="29" t="s">
        <v>336</v>
      </c>
      <c r="W47" s="114" t="s">
        <v>512</v>
      </c>
      <c r="X47" s="59" t="s">
        <v>512</v>
      </c>
      <c r="Y47" s="59" t="s">
        <v>512</v>
      </c>
    </row>
    <row r="48" spans="1:25" ht="14.55" hidden="1" customHeight="1" x14ac:dyDescent="0.3">
      <c r="A48">
        <v>44</v>
      </c>
      <c r="B48">
        <v>96</v>
      </c>
      <c r="C48" s="29">
        <v>35</v>
      </c>
      <c r="D48" s="32"/>
      <c r="E48" s="32"/>
      <c r="F48" s="32"/>
      <c r="G48" s="32">
        <v>9</v>
      </c>
      <c r="H48" s="29">
        <v>35</v>
      </c>
      <c r="I48" s="29"/>
      <c r="J48" s="29"/>
      <c r="K48" s="29"/>
      <c r="L48" s="29"/>
      <c r="M48" s="42" t="s">
        <v>210</v>
      </c>
      <c r="N48" s="42" t="s">
        <v>272</v>
      </c>
      <c r="O48" s="29" t="s">
        <v>312</v>
      </c>
      <c r="P48" s="32">
        <v>2</v>
      </c>
      <c r="Q48" s="42"/>
      <c r="R48" s="40" t="s">
        <v>776</v>
      </c>
      <c r="S48" s="42"/>
      <c r="T48" s="42" t="s">
        <v>329</v>
      </c>
      <c r="U48" s="42" t="s">
        <v>272</v>
      </c>
      <c r="V48" s="50" t="s">
        <v>335</v>
      </c>
      <c r="W48" s="111" t="s">
        <v>889</v>
      </c>
      <c r="X48" s="59" t="s">
        <v>544</v>
      </c>
      <c r="Y48" s="59" t="s">
        <v>272</v>
      </c>
    </row>
    <row r="49" spans="1:25" ht="14.55" hidden="1" customHeight="1" x14ac:dyDescent="0.3">
      <c r="A49">
        <v>45</v>
      </c>
      <c r="B49">
        <v>97</v>
      </c>
      <c r="C49" s="29">
        <v>36</v>
      </c>
      <c r="D49" s="70"/>
      <c r="E49" s="70"/>
      <c r="F49" s="70"/>
      <c r="G49" s="70"/>
      <c r="H49" s="41"/>
      <c r="I49" s="41">
        <v>36</v>
      </c>
      <c r="J49" s="41"/>
      <c r="K49" s="29"/>
      <c r="L49" s="29"/>
      <c r="M49" s="42"/>
      <c r="N49" s="42"/>
      <c r="O49" s="29" t="s">
        <v>312</v>
      </c>
      <c r="P49" s="32">
        <v>1</v>
      </c>
      <c r="Q49" s="42"/>
      <c r="R49" s="40" t="s">
        <v>775</v>
      </c>
      <c r="S49" s="42"/>
      <c r="T49" s="42" t="s">
        <v>328</v>
      </c>
      <c r="U49" s="48" t="s">
        <v>777</v>
      </c>
      <c r="V49" s="29" t="s">
        <v>336</v>
      </c>
      <c r="W49" s="111" t="s">
        <v>720</v>
      </c>
      <c r="X49" s="59" t="s">
        <v>542</v>
      </c>
      <c r="Y49" s="59" t="s">
        <v>328</v>
      </c>
    </row>
    <row r="50" spans="1:25" ht="14.55" hidden="1" customHeight="1" x14ac:dyDescent="0.3">
      <c r="A50">
        <v>46</v>
      </c>
      <c r="B50">
        <v>98</v>
      </c>
      <c r="C50" s="29">
        <v>37</v>
      </c>
      <c r="D50" s="32"/>
      <c r="E50" s="32"/>
      <c r="F50" s="32">
        <v>5</v>
      </c>
      <c r="G50" s="32"/>
      <c r="H50" s="29">
        <v>37</v>
      </c>
      <c r="I50" s="29"/>
      <c r="J50" s="29"/>
      <c r="K50" s="29"/>
      <c r="L50" s="29"/>
      <c r="M50" s="42" t="s">
        <v>57</v>
      </c>
      <c r="N50" s="42" t="s">
        <v>66</v>
      </c>
      <c r="O50" s="29" t="s">
        <v>312</v>
      </c>
      <c r="P50" s="32">
        <v>3</v>
      </c>
      <c r="Q50" s="42"/>
      <c r="R50" s="40" t="s">
        <v>775</v>
      </c>
      <c r="S50" s="42"/>
      <c r="T50" s="42" t="s">
        <v>330</v>
      </c>
      <c r="U50" s="42" t="s">
        <v>66</v>
      </c>
      <c r="V50" s="50" t="s">
        <v>335</v>
      </c>
      <c r="W50" s="111" t="s">
        <v>890</v>
      </c>
      <c r="X50" s="59" t="s">
        <v>546</v>
      </c>
      <c r="Y50" s="86" t="s">
        <v>66</v>
      </c>
    </row>
    <row r="51" spans="1:25" ht="25.8" hidden="1" customHeight="1" x14ac:dyDescent="0.3">
      <c r="A51">
        <v>47</v>
      </c>
      <c r="B51">
        <v>99</v>
      </c>
      <c r="C51" s="29">
        <v>38</v>
      </c>
      <c r="D51" s="70"/>
      <c r="E51" s="70"/>
      <c r="F51" s="70">
        <v>3</v>
      </c>
      <c r="G51" s="70"/>
      <c r="H51" s="41"/>
      <c r="I51" s="41">
        <v>38</v>
      </c>
      <c r="J51" s="41"/>
      <c r="K51" s="29"/>
      <c r="L51" s="29"/>
      <c r="M51" s="42" t="s">
        <v>57</v>
      </c>
      <c r="N51" s="42" t="s">
        <v>65</v>
      </c>
      <c r="O51" s="29" t="s">
        <v>312</v>
      </c>
      <c r="P51" s="32">
        <v>0</v>
      </c>
      <c r="Q51" s="42"/>
      <c r="R51" s="40"/>
      <c r="S51" s="42" t="s">
        <v>774</v>
      </c>
      <c r="T51" s="42"/>
      <c r="U51" s="42" t="s">
        <v>65</v>
      </c>
      <c r="V51" s="29"/>
      <c r="W51" s="111" t="s">
        <v>884</v>
      </c>
      <c r="X51" s="59" t="s">
        <v>539</v>
      </c>
      <c r="Y51" s="59" t="s">
        <v>857</v>
      </c>
    </row>
    <row r="52" spans="1:25" ht="14.55" customHeight="1" x14ac:dyDescent="0.3">
      <c r="A52">
        <v>48</v>
      </c>
      <c r="B52">
        <v>111</v>
      </c>
      <c r="C52" s="29">
        <v>73</v>
      </c>
      <c r="D52" s="55"/>
      <c r="E52" s="55">
        <v>4</v>
      </c>
      <c r="F52" s="55"/>
      <c r="G52" s="55"/>
      <c r="H52" s="50"/>
      <c r="I52" s="50"/>
      <c r="J52" s="50">
        <v>1</v>
      </c>
      <c r="K52" s="50"/>
      <c r="L52" s="50"/>
      <c r="M52" s="40" t="s">
        <v>27</v>
      </c>
      <c r="N52" s="40" t="s">
        <v>48</v>
      </c>
      <c r="O52" s="29" t="s">
        <v>312</v>
      </c>
      <c r="P52" s="55">
        <v>9</v>
      </c>
      <c r="Q52" s="42" t="s">
        <v>425</v>
      </c>
      <c r="R52" s="51" t="s">
        <v>826</v>
      </c>
      <c r="S52" s="48"/>
      <c r="T52" s="48"/>
      <c r="U52" s="48" t="s">
        <v>825</v>
      </c>
      <c r="V52" s="29" t="s">
        <v>335</v>
      </c>
      <c r="W52" s="111" t="s">
        <v>372</v>
      </c>
      <c r="X52" s="59" t="s">
        <v>634</v>
      </c>
      <c r="Y52" s="86" t="s">
        <v>634</v>
      </c>
    </row>
    <row r="53" spans="1:25" ht="28.2" customHeight="1" x14ac:dyDescent="0.3">
      <c r="A53">
        <v>49</v>
      </c>
      <c r="B53">
        <v>112</v>
      </c>
      <c r="C53" s="29">
        <v>74</v>
      </c>
      <c r="D53" s="52"/>
      <c r="E53" s="52">
        <v>2</v>
      </c>
      <c r="F53" s="52"/>
      <c r="G53" s="52"/>
      <c r="H53" s="50"/>
      <c r="I53" s="50"/>
      <c r="J53" s="50"/>
      <c r="K53" s="50">
        <v>2</v>
      </c>
      <c r="L53" s="50"/>
      <c r="M53" s="40" t="s">
        <v>26</v>
      </c>
      <c r="N53" s="40" t="s">
        <v>48</v>
      </c>
      <c r="O53" s="29" t="s">
        <v>312</v>
      </c>
      <c r="P53" s="52">
        <v>8</v>
      </c>
      <c r="Q53" s="42" t="s">
        <v>424</v>
      </c>
      <c r="R53" s="51" t="s">
        <v>827</v>
      </c>
      <c r="S53" s="48"/>
      <c r="T53" s="48"/>
      <c r="U53" s="48" t="s">
        <v>26</v>
      </c>
      <c r="V53" s="29" t="s">
        <v>335</v>
      </c>
      <c r="W53" s="111" t="s">
        <v>373</v>
      </c>
      <c r="X53" s="59" t="s">
        <v>632</v>
      </c>
      <c r="Y53" s="59" t="s">
        <v>632</v>
      </c>
    </row>
    <row r="54" spans="1:25" ht="25.2" customHeight="1" x14ac:dyDescent="0.3">
      <c r="A54">
        <v>50</v>
      </c>
      <c r="B54">
        <v>113</v>
      </c>
      <c r="C54" s="29">
        <v>76</v>
      </c>
      <c r="D54" s="29">
        <v>1</v>
      </c>
      <c r="E54" s="29"/>
      <c r="F54" s="29"/>
      <c r="G54" s="29"/>
      <c r="H54" s="29"/>
      <c r="I54" s="29"/>
      <c r="J54" s="29"/>
      <c r="K54" s="29">
        <v>4</v>
      </c>
      <c r="L54" s="29"/>
      <c r="M54" s="40" t="s">
        <v>142</v>
      </c>
      <c r="N54" s="40" t="s">
        <v>174</v>
      </c>
      <c r="O54" s="29" t="s">
        <v>312</v>
      </c>
      <c r="P54" s="29">
        <v>6</v>
      </c>
      <c r="Q54" s="42" t="s">
        <v>422</v>
      </c>
      <c r="R54" s="40" t="s">
        <v>346</v>
      </c>
      <c r="S54" s="42"/>
      <c r="T54" s="42"/>
      <c r="U54" s="42" t="s">
        <v>823</v>
      </c>
      <c r="V54" s="29"/>
      <c r="W54" s="43" t="s">
        <v>476</v>
      </c>
      <c r="X54" s="59"/>
      <c r="Y54" s="86" t="s">
        <v>864</v>
      </c>
    </row>
    <row r="55" spans="1:25" ht="40.799999999999997" hidden="1" customHeight="1" x14ac:dyDescent="0.3">
      <c r="A55">
        <v>51</v>
      </c>
      <c r="B55">
        <v>7</v>
      </c>
      <c r="C55" s="29">
        <v>78</v>
      </c>
      <c r="D55" s="29"/>
      <c r="E55" s="29"/>
      <c r="F55" s="29"/>
      <c r="G55" s="29"/>
      <c r="H55" s="29"/>
      <c r="I55" s="29"/>
      <c r="J55" s="29"/>
      <c r="K55" s="29">
        <v>6</v>
      </c>
      <c r="L55" s="29"/>
      <c r="M55" s="42"/>
      <c r="N55" s="42"/>
      <c r="O55" s="29" t="s">
        <v>312</v>
      </c>
      <c r="P55" s="29">
        <v>5</v>
      </c>
      <c r="Q55" s="42"/>
      <c r="R55" s="40"/>
      <c r="S55" s="42"/>
      <c r="T55" s="42" t="s">
        <v>362</v>
      </c>
      <c r="U55" s="48" t="s">
        <v>794</v>
      </c>
      <c r="V55" s="29" t="s">
        <v>336</v>
      </c>
      <c r="W55" s="43" t="s">
        <v>720</v>
      </c>
      <c r="X55" s="59"/>
      <c r="Y55" s="86" t="s">
        <v>862</v>
      </c>
    </row>
    <row r="56" spans="1:25" ht="34.799999999999997" customHeight="1" x14ac:dyDescent="0.3">
      <c r="A56">
        <v>52</v>
      </c>
      <c r="B56">
        <v>8</v>
      </c>
      <c r="C56" s="29">
        <v>91</v>
      </c>
      <c r="D56" s="29">
        <v>11</v>
      </c>
      <c r="E56" s="29"/>
      <c r="F56" s="29"/>
      <c r="G56" s="29"/>
      <c r="H56" s="29"/>
      <c r="I56" s="29"/>
      <c r="J56" s="29">
        <v>19</v>
      </c>
      <c r="K56" s="29"/>
      <c r="L56" s="29"/>
      <c r="M56" s="42" t="s">
        <v>157</v>
      </c>
      <c r="N56" s="42" t="s">
        <v>175</v>
      </c>
      <c r="O56" s="29" t="s">
        <v>312</v>
      </c>
      <c r="P56" s="29">
        <v>7</v>
      </c>
      <c r="Q56" s="42" t="s">
        <v>423</v>
      </c>
      <c r="R56" s="40" t="s">
        <v>358</v>
      </c>
      <c r="S56" s="42"/>
      <c r="T56" s="42"/>
      <c r="U56" s="42" t="s">
        <v>824</v>
      </c>
      <c r="V56" s="29"/>
      <c r="W56" s="43" t="s">
        <v>478</v>
      </c>
      <c r="X56" s="59" t="s">
        <v>713</v>
      </c>
      <c r="Y56" s="86" t="s">
        <v>713</v>
      </c>
    </row>
    <row r="57" spans="1:25" ht="14.55" hidden="1" customHeight="1" x14ac:dyDescent="0.3">
      <c r="A57">
        <v>53</v>
      </c>
      <c r="B57">
        <v>9</v>
      </c>
      <c r="C57" s="29">
        <v>106</v>
      </c>
      <c r="D57" s="29"/>
      <c r="E57" s="29"/>
      <c r="F57" s="29"/>
      <c r="G57" s="29"/>
      <c r="H57" s="29"/>
      <c r="I57" s="29"/>
      <c r="J57" s="29"/>
      <c r="K57" s="29">
        <v>34</v>
      </c>
      <c r="L57" s="29"/>
      <c r="M57" s="42"/>
      <c r="N57" s="42"/>
      <c r="O57" s="29" t="s">
        <v>312</v>
      </c>
      <c r="P57" s="29">
        <v>4</v>
      </c>
      <c r="Q57" s="42"/>
      <c r="R57" s="40"/>
      <c r="S57" s="42"/>
      <c r="T57" s="42" t="s">
        <v>337</v>
      </c>
      <c r="U57" s="48" t="s">
        <v>793</v>
      </c>
      <c r="V57" s="29" t="s">
        <v>336</v>
      </c>
      <c r="W57" s="43" t="s">
        <v>720</v>
      </c>
      <c r="X57" s="59"/>
      <c r="Y57" s="86" t="s">
        <v>861</v>
      </c>
    </row>
    <row r="58" spans="1:25" ht="22.8" customHeight="1" x14ac:dyDescent="0.3">
      <c r="A58">
        <v>54</v>
      </c>
      <c r="B58">
        <v>114</v>
      </c>
      <c r="C58" s="29">
        <v>4</v>
      </c>
      <c r="D58" s="29"/>
      <c r="E58" s="29">
        <v>12</v>
      </c>
      <c r="F58" s="29"/>
      <c r="G58" s="29"/>
      <c r="H58" s="29"/>
      <c r="I58" s="29">
        <v>4</v>
      </c>
      <c r="J58" s="29"/>
      <c r="K58" s="29"/>
      <c r="L58" s="29"/>
      <c r="M58" s="42" t="s">
        <v>31</v>
      </c>
      <c r="N58" s="42" t="s">
        <v>48</v>
      </c>
      <c r="O58" s="29" t="s">
        <v>313</v>
      </c>
      <c r="P58" s="29">
        <v>2</v>
      </c>
      <c r="Q58" s="42" t="s">
        <v>428</v>
      </c>
      <c r="R58" s="40" t="s">
        <v>461</v>
      </c>
      <c r="S58" s="42"/>
      <c r="T58" s="42"/>
      <c r="U58" s="42" t="s">
        <v>31</v>
      </c>
      <c r="V58" s="29" t="s">
        <v>335</v>
      </c>
      <c r="W58" s="111" t="s">
        <v>375</v>
      </c>
      <c r="X58" s="59" t="s">
        <v>665</v>
      </c>
      <c r="Y58" s="86" t="s">
        <v>665</v>
      </c>
    </row>
    <row r="59" spans="1:25" ht="26.55" hidden="1" customHeight="1" x14ac:dyDescent="0.3">
      <c r="A59">
        <v>55</v>
      </c>
      <c r="B59">
        <v>115</v>
      </c>
      <c r="C59" s="29">
        <v>39</v>
      </c>
      <c r="D59" s="29"/>
      <c r="E59" s="29"/>
      <c r="F59" s="29">
        <v>8</v>
      </c>
      <c r="G59" s="29"/>
      <c r="H59" s="29">
        <v>39</v>
      </c>
      <c r="I59" s="29"/>
      <c r="J59" s="29"/>
      <c r="K59" s="29"/>
      <c r="L59" s="29"/>
      <c r="M59" s="42" t="s">
        <v>115</v>
      </c>
      <c r="N59" s="42" t="s">
        <v>138</v>
      </c>
      <c r="O59" s="29" t="s">
        <v>313</v>
      </c>
      <c r="P59" s="29">
        <v>4</v>
      </c>
      <c r="Q59" s="42"/>
      <c r="R59" s="40" t="s">
        <v>363</v>
      </c>
      <c r="S59" s="42"/>
      <c r="T59" s="42"/>
      <c r="U59" s="42"/>
      <c r="V59" s="29"/>
      <c r="W59" s="111" t="s">
        <v>396</v>
      </c>
      <c r="X59" s="59" t="s">
        <v>669</v>
      </c>
      <c r="Y59" s="48" t="s">
        <v>396</v>
      </c>
    </row>
    <row r="60" spans="1:25" ht="25.8" hidden="1" customHeight="1" x14ac:dyDescent="0.3">
      <c r="A60">
        <v>56</v>
      </c>
      <c r="B60">
        <v>116</v>
      </c>
      <c r="C60" s="29">
        <v>40</v>
      </c>
      <c r="D60" s="52"/>
      <c r="E60" s="52"/>
      <c r="F60" s="52">
        <v>10</v>
      </c>
      <c r="G60" s="52"/>
      <c r="H60" s="50"/>
      <c r="I60" s="50">
        <v>40</v>
      </c>
      <c r="J60" s="50"/>
      <c r="K60" s="50"/>
      <c r="L60" s="50"/>
      <c r="M60" s="38" t="s">
        <v>117</v>
      </c>
      <c r="N60" s="48" t="s">
        <v>138</v>
      </c>
      <c r="O60" s="29" t="s">
        <v>313</v>
      </c>
      <c r="P60" s="52">
        <v>3</v>
      </c>
      <c r="Q60" s="42"/>
      <c r="R60" s="51" t="s">
        <v>837</v>
      </c>
      <c r="S60" s="48"/>
      <c r="T60" s="48"/>
      <c r="U60" s="48"/>
      <c r="V60" s="50"/>
      <c r="W60" s="111" t="s">
        <v>397</v>
      </c>
      <c r="X60" s="59" t="s">
        <v>667</v>
      </c>
      <c r="Y60" s="48" t="s">
        <v>397</v>
      </c>
    </row>
    <row r="61" spans="1:25" ht="14.55" hidden="1" customHeight="1" x14ac:dyDescent="0.3">
      <c r="A61">
        <v>57</v>
      </c>
      <c r="B61">
        <v>117</v>
      </c>
      <c r="C61" s="29">
        <v>41</v>
      </c>
      <c r="D61" s="29"/>
      <c r="E61" s="29"/>
      <c r="F61" s="29">
        <v>6</v>
      </c>
      <c r="G61" s="29"/>
      <c r="H61" s="29">
        <v>41</v>
      </c>
      <c r="I61" s="29"/>
      <c r="J61" s="29"/>
      <c r="K61" s="29"/>
      <c r="L61" s="29"/>
      <c r="M61" s="42" t="s">
        <v>113</v>
      </c>
      <c r="N61" s="42" t="s">
        <v>138</v>
      </c>
      <c r="O61" s="29" t="s">
        <v>313</v>
      </c>
      <c r="P61" s="29">
        <v>5</v>
      </c>
      <c r="Q61" s="42"/>
      <c r="R61" s="40" t="s">
        <v>348</v>
      </c>
      <c r="S61" s="42"/>
      <c r="T61" s="42"/>
      <c r="U61" s="42"/>
      <c r="V61" s="50" t="s">
        <v>335</v>
      </c>
      <c r="W61" s="43" t="s">
        <v>449</v>
      </c>
      <c r="X61" s="59" t="s">
        <v>670</v>
      </c>
      <c r="Y61" s="59" t="s">
        <v>670</v>
      </c>
    </row>
    <row r="62" spans="1:25" ht="31.8" hidden="1" customHeight="1" x14ac:dyDescent="0.3">
      <c r="A62">
        <v>58</v>
      </c>
      <c r="B62">
        <v>118</v>
      </c>
      <c r="C62" s="29">
        <v>43</v>
      </c>
      <c r="D62" s="29"/>
      <c r="E62" s="29"/>
      <c r="F62" s="29">
        <v>4</v>
      </c>
      <c r="G62" s="29"/>
      <c r="H62" s="29">
        <v>43</v>
      </c>
      <c r="I62" s="29"/>
      <c r="J62" s="29"/>
      <c r="K62" s="29"/>
      <c r="L62" s="29"/>
      <c r="M62" s="42" t="s">
        <v>111</v>
      </c>
      <c r="N62" s="42" t="s">
        <v>138</v>
      </c>
      <c r="O62" s="29" t="s">
        <v>313</v>
      </c>
      <c r="P62" s="29">
        <v>6</v>
      </c>
      <c r="Q62" s="42"/>
      <c r="R62" s="40" t="s">
        <v>838</v>
      </c>
      <c r="S62" s="42"/>
      <c r="T62" s="42"/>
      <c r="U62" s="42"/>
      <c r="V62" s="50" t="s">
        <v>335</v>
      </c>
      <c r="W62" s="43" t="s">
        <v>448</v>
      </c>
      <c r="X62" s="59" t="s">
        <v>671</v>
      </c>
      <c r="Y62" s="59" t="s">
        <v>671</v>
      </c>
    </row>
    <row r="63" spans="1:25" ht="22.8" hidden="1" x14ac:dyDescent="0.3">
      <c r="A63">
        <v>59</v>
      </c>
      <c r="B63">
        <v>119</v>
      </c>
      <c r="C63" s="29">
        <v>45</v>
      </c>
      <c r="D63" s="29"/>
      <c r="E63" s="29"/>
      <c r="F63" s="29">
        <v>2</v>
      </c>
      <c r="G63" s="29"/>
      <c r="H63" s="29">
        <v>45</v>
      </c>
      <c r="I63" s="29"/>
      <c r="J63" s="29"/>
      <c r="K63" s="29"/>
      <c r="L63" s="29"/>
      <c r="M63" s="42" t="s">
        <v>109</v>
      </c>
      <c r="N63" s="42" t="s">
        <v>138</v>
      </c>
      <c r="O63" s="29" t="s">
        <v>313</v>
      </c>
      <c r="P63" s="29">
        <v>7</v>
      </c>
      <c r="Q63" s="42"/>
      <c r="R63" s="40" t="s">
        <v>350</v>
      </c>
      <c r="S63" s="42"/>
      <c r="T63" s="42"/>
      <c r="U63" s="42"/>
      <c r="V63" s="29"/>
      <c r="W63" s="111" t="s">
        <v>723</v>
      </c>
      <c r="X63" s="59" t="s">
        <v>672</v>
      </c>
      <c r="Y63" s="86"/>
    </row>
    <row r="64" spans="1:25" hidden="1" x14ac:dyDescent="0.3">
      <c r="A64">
        <v>60</v>
      </c>
      <c r="B64">
        <v>122</v>
      </c>
      <c r="C64" s="29">
        <v>55</v>
      </c>
      <c r="D64" s="29"/>
      <c r="E64" s="29"/>
      <c r="F64" s="29">
        <v>27</v>
      </c>
      <c r="G64" s="29"/>
      <c r="H64" s="29">
        <v>55</v>
      </c>
      <c r="I64" s="29"/>
      <c r="J64" s="29"/>
      <c r="K64" s="29"/>
      <c r="L64" s="29"/>
      <c r="M64" s="42" t="s">
        <v>106</v>
      </c>
      <c r="N64" s="42" t="s">
        <v>137</v>
      </c>
      <c r="O64" s="29" t="s">
        <v>313</v>
      </c>
      <c r="P64" s="29">
        <v>1</v>
      </c>
      <c r="Q64" s="42"/>
      <c r="R64" s="40"/>
      <c r="S64" s="42"/>
      <c r="T64" s="42"/>
      <c r="U64" s="42" t="s">
        <v>484</v>
      </c>
      <c r="V64" s="29"/>
      <c r="W64" s="111" t="s">
        <v>484</v>
      </c>
      <c r="X64" s="59" t="s">
        <v>663</v>
      </c>
      <c r="Y64" s="86" t="s">
        <v>733</v>
      </c>
    </row>
    <row r="65" spans="1:25" ht="14.55" hidden="1" customHeight="1" x14ac:dyDescent="0.3">
      <c r="A65">
        <v>61</v>
      </c>
      <c r="B65">
        <v>123</v>
      </c>
      <c r="C65" s="29">
        <v>57</v>
      </c>
      <c r="D65" s="29"/>
      <c r="E65" s="29"/>
      <c r="F65" s="29">
        <v>25</v>
      </c>
      <c r="G65" s="29"/>
      <c r="H65" s="29">
        <v>57</v>
      </c>
      <c r="I65" s="29"/>
      <c r="J65" s="29"/>
      <c r="K65" s="29"/>
      <c r="L65" s="29"/>
      <c r="M65" s="42" t="s">
        <v>104</v>
      </c>
      <c r="N65" s="42" t="s">
        <v>137</v>
      </c>
      <c r="O65" s="29" t="s">
        <v>313</v>
      </c>
      <c r="P65" s="29">
        <v>0</v>
      </c>
      <c r="Q65" s="42"/>
      <c r="R65" s="40"/>
      <c r="S65" s="42"/>
      <c r="T65" s="42"/>
      <c r="U65" s="42" t="s">
        <v>485</v>
      </c>
      <c r="V65" s="29"/>
      <c r="W65" s="111" t="s">
        <v>485</v>
      </c>
      <c r="X65" s="59" t="s">
        <v>662</v>
      </c>
      <c r="Y65" s="86" t="s">
        <v>734</v>
      </c>
    </row>
    <row r="66" spans="1:25" ht="14.55" hidden="1" customHeight="1" x14ac:dyDescent="0.3">
      <c r="A66">
        <v>62</v>
      </c>
      <c r="B66">
        <v>77</v>
      </c>
      <c r="C66" s="29">
        <v>69</v>
      </c>
      <c r="D66" s="52"/>
      <c r="E66" s="52"/>
      <c r="F66" s="52"/>
      <c r="G66" s="52"/>
      <c r="H66" s="50">
        <v>69</v>
      </c>
      <c r="I66" s="50"/>
      <c r="J66" s="50"/>
      <c r="K66" s="50"/>
      <c r="L66" s="50"/>
      <c r="M66" s="48"/>
      <c r="N66" s="48"/>
      <c r="O66" s="29" t="s">
        <v>313</v>
      </c>
      <c r="P66" s="52">
        <v>9</v>
      </c>
      <c r="Q66" s="42"/>
      <c r="R66" s="51" t="s">
        <v>352</v>
      </c>
      <c r="S66" s="48"/>
      <c r="T66" s="48"/>
      <c r="U66" s="48" t="s">
        <v>459</v>
      </c>
      <c r="V66" s="50" t="s">
        <v>336</v>
      </c>
      <c r="W66" s="111" t="s">
        <v>721</v>
      </c>
      <c r="X66" s="59" t="s">
        <v>673</v>
      </c>
      <c r="Y66" s="74" t="s">
        <v>754</v>
      </c>
    </row>
    <row r="67" spans="1:25" hidden="1" x14ac:dyDescent="0.3">
      <c r="A67">
        <v>63</v>
      </c>
      <c r="B67">
        <v>78</v>
      </c>
      <c r="C67" s="29">
        <v>82</v>
      </c>
      <c r="D67" s="52"/>
      <c r="E67" s="52"/>
      <c r="F67" s="52"/>
      <c r="G67" s="52"/>
      <c r="H67" s="50"/>
      <c r="I67" s="50"/>
      <c r="J67" s="50"/>
      <c r="K67" s="50">
        <v>10</v>
      </c>
      <c r="L67" s="50"/>
      <c r="M67" s="48"/>
      <c r="N67" s="48"/>
      <c r="O67" s="29" t="s">
        <v>313</v>
      </c>
      <c r="P67" s="52">
        <v>8</v>
      </c>
      <c r="Q67" s="42"/>
      <c r="R67" s="51" t="s">
        <v>351</v>
      </c>
      <c r="S67" s="48"/>
      <c r="T67" s="48"/>
      <c r="U67" s="48" t="s">
        <v>460</v>
      </c>
      <c r="V67" s="50" t="s">
        <v>336</v>
      </c>
      <c r="W67" s="111" t="s">
        <v>721</v>
      </c>
      <c r="X67" s="59" t="s">
        <v>607</v>
      </c>
      <c r="Y67" s="74" t="s">
        <v>753</v>
      </c>
    </row>
    <row r="68" spans="1:25" ht="14.55" customHeight="1" x14ac:dyDescent="0.3">
      <c r="A68">
        <v>64</v>
      </c>
      <c r="B68">
        <v>79</v>
      </c>
      <c r="C68" s="29">
        <v>113</v>
      </c>
      <c r="D68" s="71"/>
      <c r="E68" s="71"/>
      <c r="F68" s="71"/>
      <c r="G68" s="71">
        <v>19</v>
      </c>
      <c r="H68" s="54"/>
      <c r="I68" s="54"/>
      <c r="J68" s="54">
        <v>41</v>
      </c>
      <c r="K68" s="50"/>
      <c r="L68" s="50"/>
      <c r="M68" s="38" t="s">
        <v>222</v>
      </c>
      <c r="N68" s="48"/>
      <c r="O68" s="29" t="s">
        <v>313</v>
      </c>
      <c r="P68" s="55">
        <v>13</v>
      </c>
      <c r="Q68" s="42" t="s">
        <v>398</v>
      </c>
      <c r="R68" s="51" t="s">
        <v>802</v>
      </c>
      <c r="S68" s="48"/>
      <c r="T68" s="48"/>
      <c r="U68" s="42"/>
      <c r="V68" s="50"/>
      <c r="W68" s="111" t="s">
        <v>470</v>
      </c>
      <c r="X68" s="59" t="s">
        <v>614</v>
      </c>
      <c r="Y68" s="74" t="s">
        <v>745</v>
      </c>
    </row>
    <row r="69" spans="1:25" ht="14.55" customHeight="1" x14ac:dyDescent="0.3">
      <c r="A69">
        <v>65</v>
      </c>
      <c r="B69">
        <v>80</v>
      </c>
      <c r="C69" s="29">
        <v>115</v>
      </c>
      <c r="D69" s="55"/>
      <c r="E69" s="55"/>
      <c r="F69" s="55"/>
      <c r="G69" s="55">
        <v>21</v>
      </c>
      <c r="H69" s="50"/>
      <c r="I69" s="50"/>
      <c r="J69" s="50">
        <v>43</v>
      </c>
      <c r="K69" s="50"/>
      <c r="L69" s="50"/>
      <c r="M69" s="38" t="s">
        <v>225</v>
      </c>
      <c r="N69" s="48"/>
      <c r="O69" s="29" t="s">
        <v>313</v>
      </c>
      <c r="P69" s="55">
        <v>12</v>
      </c>
      <c r="Q69" s="42" t="s">
        <v>420</v>
      </c>
      <c r="R69" s="51" t="s">
        <v>819</v>
      </c>
      <c r="S69" s="48"/>
      <c r="T69" s="48"/>
      <c r="U69" s="42"/>
      <c r="V69" s="50"/>
      <c r="W69" s="111" t="s">
        <v>471</v>
      </c>
      <c r="X69" s="59" t="s">
        <v>613</v>
      </c>
      <c r="Y69" s="86" t="s">
        <v>746</v>
      </c>
    </row>
    <row r="70" spans="1:25" ht="28.2" hidden="1" customHeight="1" x14ac:dyDescent="0.3">
      <c r="A70">
        <v>66</v>
      </c>
      <c r="B70">
        <v>81</v>
      </c>
      <c r="C70" s="29">
        <v>117</v>
      </c>
      <c r="D70" s="55"/>
      <c r="E70" s="55"/>
      <c r="F70" s="55"/>
      <c r="G70" s="55">
        <v>23</v>
      </c>
      <c r="H70" s="50"/>
      <c r="I70" s="50"/>
      <c r="J70" s="50">
        <v>45</v>
      </c>
      <c r="K70" s="50"/>
      <c r="L70" s="50"/>
      <c r="M70" s="38" t="s">
        <v>228</v>
      </c>
      <c r="N70" s="38" t="s">
        <v>274</v>
      </c>
      <c r="O70" s="29" t="s">
        <v>313</v>
      </c>
      <c r="P70" s="55">
        <v>11</v>
      </c>
      <c r="Q70" s="42"/>
      <c r="R70" s="46" t="s">
        <v>818</v>
      </c>
      <c r="S70" s="38"/>
      <c r="T70" s="38"/>
      <c r="U70" s="48"/>
      <c r="V70" s="50"/>
      <c r="W70" s="111" t="s">
        <v>472</v>
      </c>
      <c r="X70" s="59" t="s">
        <v>612</v>
      </c>
      <c r="Y70" s="86" t="s">
        <v>747</v>
      </c>
    </row>
    <row r="71" spans="1:25" ht="14.55" customHeight="1" x14ac:dyDescent="0.3">
      <c r="A71">
        <v>67</v>
      </c>
      <c r="B71">
        <v>82</v>
      </c>
      <c r="C71" s="29">
        <v>118</v>
      </c>
      <c r="D71" s="55">
        <v>16</v>
      </c>
      <c r="E71" s="55"/>
      <c r="F71" s="55"/>
      <c r="G71" s="55"/>
      <c r="H71" s="50"/>
      <c r="I71" s="50"/>
      <c r="J71" s="50"/>
      <c r="K71" s="50">
        <v>46</v>
      </c>
      <c r="L71" s="50"/>
      <c r="M71" s="38" t="s">
        <v>191</v>
      </c>
      <c r="N71" s="38" t="s">
        <v>203</v>
      </c>
      <c r="O71" s="29" t="s">
        <v>313</v>
      </c>
      <c r="P71" s="55">
        <v>14</v>
      </c>
      <c r="Q71" s="42" t="s">
        <v>421</v>
      </c>
      <c r="R71" s="46" t="s">
        <v>820</v>
      </c>
      <c r="S71" s="38"/>
      <c r="T71" s="38"/>
      <c r="U71" s="48"/>
      <c r="V71" s="50"/>
      <c r="W71" s="111" t="s">
        <v>473</v>
      </c>
      <c r="X71" s="59" t="s">
        <v>615</v>
      </c>
      <c r="Y71" s="74" t="s">
        <v>748</v>
      </c>
    </row>
    <row r="72" spans="1:25" ht="14.55" customHeight="1" x14ac:dyDescent="0.3">
      <c r="A72">
        <v>68</v>
      </c>
      <c r="B72">
        <v>85</v>
      </c>
      <c r="C72" s="29">
        <v>120</v>
      </c>
      <c r="D72" s="71">
        <v>18</v>
      </c>
      <c r="E72" s="71"/>
      <c r="F72" s="71"/>
      <c r="G72" s="71"/>
      <c r="H72" s="54"/>
      <c r="I72" s="54"/>
      <c r="J72" s="54"/>
      <c r="K72" s="50">
        <v>48</v>
      </c>
      <c r="L72" s="50"/>
      <c r="M72" s="38" t="s">
        <v>194</v>
      </c>
      <c r="N72" s="38" t="s">
        <v>204</v>
      </c>
      <c r="O72" s="29" t="s">
        <v>313</v>
      </c>
      <c r="P72" s="55">
        <v>15</v>
      </c>
      <c r="Q72" s="42" t="s">
        <v>204</v>
      </c>
      <c r="R72" s="46" t="s">
        <v>821</v>
      </c>
      <c r="S72" s="38"/>
      <c r="T72" s="38"/>
      <c r="U72" s="48"/>
      <c r="V72" s="50"/>
      <c r="W72" s="111" t="s">
        <v>474</v>
      </c>
      <c r="X72" s="59" t="s">
        <v>616</v>
      </c>
      <c r="Y72" s="74" t="s">
        <v>749</v>
      </c>
    </row>
    <row r="73" spans="1:25" hidden="1" x14ac:dyDescent="0.3">
      <c r="A73">
        <v>69</v>
      </c>
      <c r="B73">
        <v>86</v>
      </c>
      <c r="C73" s="29">
        <v>137</v>
      </c>
      <c r="D73" s="55"/>
      <c r="E73" s="55"/>
      <c r="F73" s="55"/>
      <c r="G73" s="55"/>
      <c r="H73" s="50"/>
      <c r="I73" s="50"/>
      <c r="J73" s="50">
        <v>65</v>
      </c>
      <c r="K73" s="50"/>
      <c r="L73" s="50"/>
      <c r="M73" s="48"/>
      <c r="N73" s="48"/>
      <c r="O73" s="29" t="s">
        <v>313</v>
      </c>
      <c r="P73" s="55">
        <v>10</v>
      </c>
      <c r="Q73" s="42"/>
      <c r="R73" s="51" t="s">
        <v>353</v>
      </c>
      <c r="S73" s="48"/>
      <c r="T73" s="48"/>
      <c r="U73" s="48"/>
      <c r="V73" s="50"/>
      <c r="W73" s="111" t="s">
        <v>723</v>
      </c>
      <c r="X73" s="59" t="s">
        <v>611</v>
      </c>
      <c r="Y73" s="74"/>
    </row>
    <row r="74" spans="1:25" ht="25.8" hidden="1" customHeight="1" x14ac:dyDescent="0.3">
      <c r="A74">
        <v>70</v>
      </c>
      <c r="C74" s="29">
        <v>46</v>
      </c>
      <c r="D74" s="55"/>
      <c r="E74" s="55"/>
      <c r="F74" s="55">
        <v>14</v>
      </c>
      <c r="G74" s="55">
        <v>25</v>
      </c>
      <c r="H74" s="50"/>
      <c r="I74" s="50">
        <v>46</v>
      </c>
      <c r="J74" s="50"/>
      <c r="K74" s="50"/>
      <c r="L74" s="8" t="s">
        <v>232</v>
      </c>
      <c r="M74" s="38" t="s">
        <v>323</v>
      </c>
      <c r="N74" s="48" t="s">
        <v>139</v>
      </c>
      <c r="O74" s="29" t="s">
        <v>314</v>
      </c>
      <c r="P74" s="55">
        <v>2</v>
      </c>
      <c r="Q74" s="42"/>
      <c r="R74" s="51" t="s">
        <v>494</v>
      </c>
      <c r="S74" s="48"/>
      <c r="T74" s="48" t="s">
        <v>327</v>
      </c>
      <c r="U74" s="48"/>
      <c r="V74" s="50" t="s">
        <v>335</v>
      </c>
      <c r="W74" s="111" t="s">
        <v>453</v>
      </c>
      <c r="X74" s="59" t="s">
        <v>500</v>
      </c>
      <c r="Y74" s="48" t="s">
        <v>453</v>
      </c>
    </row>
    <row r="75" spans="1:25" hidden="1" x14ac:dyDescent="0.3">
      <c r="A75">
        <v>71</v>
      </c>
      <c r="C75" s="29">
        <v>47</v>
      </c>
      <c r="D75" s="55"/>
      <c r="E75" s="55"/>
      <c r="F75" s="55">
        <v>22</v>
      </c>
      <c r="G75" s="55"/>
      <c r="H75" s="50">
        <v>47</v>
      </c>
      <c r="I75" s="50"/>
      <c r="J75" s="50"/>
      <c r="K75" s="50"/>
      <c r="L75" s="50"/>
      <c r="M75" s="38" t="s">
        <v>127</v>
      </c>
      <c r="N75" s="48" t="s">
        <v>140</v>
      </c>
      <c r="O75" s="29" t="s">
        <v>314</v>
      </c>
      <c r="P75" s="55">
        <v>3</v>
      </c>
      <c r="Q75" s="42"/>
      <c r="R75" s="51"/>
      <c r="S75" s="48"/>
      <c r="T75" s="48"/>
      <c r="U75" s="48"/>
      <c r="V75" s="50"/>
      <c r="W75" s="111" t="s">
        <v>723</v>
      </c>
      <c r="X75" s="59"/>
      <c r="Y75" s="59"/>
    </row>
    <row r="76" spans="1:25" ht="14.55" hidden="1" customHeight="1" x14ac:dyDescent="0.3">
      <c r="A76">
        <v>72</v>
      </c>
      <c r="B76">
        <v>1</v>
      </c>
      <c r="C76" s="29">
        <v>48</v>
      </c>
      <c r="D76" s="55"/>
      <c r="E76" s="55"/>
      <c r="F76" s="55">
        <v>16</v>
      </c>
      <c r="G76" s="55"/>
      <c r="H76" s="50"/>
      <c r="I76" s="50">
        <v>48</v>
      </c>
      <c r="J76" s="50"/>
      <c r="K76" s="50"/>
      <c r="L76" s="50"/>
      <c r="M76" s="38" t="s">
        <v>121</v>
      </c>
      <c r="N76" s="48" t="s">
        <v>139</v>
      </c>
      <c r="O76" s="29" t="s">
        <v>314</v>
      </c>
      <c r="P76" s="55">
        <v>4</v>
      </c>
      <c r="Q76" s="42"/>
      <c r="R76" s="51" t="s">
        <v>762</v>
      </c>
      <c r="S76" s="48"/>
      <c r="T76" s="48"/>
      <c r="U76" s="48"/>
      <c r="V76" s="50"/>
      <c r="W76" s="111" t="s">
        <v>723</v>
      </c>
      <c r="X76" s="59" t="s">
        <v>502</v>
      </c>
      <c r="Y76" s="59"/>
    </row>
    <row r="77" spans="1:25" ht="22.8" x14ac:dyDescent="0.3">
      <c r="A77">
        <v>73</v>
      </c>
      <c r="B77">
        <v>2</v>
      </c>
      <c r="C77" s="29">
        <v>50</v>
      </c>
      <c r="D77" s="55"/>
      <c r="E77" s="55"/>
      <c r="F77" s="55">
        <v>18</v>
      </c>
      <c r="G77" s="55"/>
      <c r="H77" s="50"/>
      <c r="I77" s="50">
        <v>50</v>
      </c>
      <c r="J77" s="50"/>
      <c r="K77" s="50"/>
      <c r="L77" s="50"/>
      <c r="M77" s="38" t="s">
        <v>123</v>
      </c>
      <c r="N77" s="48" t="s">
        <v>139</v>
      </c>
      <c r="O77" s="29" t="s">
        <v>314</v>
      </c>
      <c r="P77" s="55">
        <v>5</v>
      </c>
      <c r="Q77" s="42" t="s">
        <v>403</v>
      </c>
      <c r="R77" s="51" t="s">
        <v>503</v>
      </c>
      <c r="S77" s="48"/>
      <c r="T77" s="48"/>
      <c r="U77" s="48"/>
      <c r="V77" s="50"/>
      <c r="W77" s="111" t="s">
        <v>723</v>
      </c>
      <c r="X77" s="59" t="s">
        <v>504</v>
      </c>
      <c r="Y77" s="86"/>
    </row>
    <row r="78" spans="1:25" hidden="1" x14ac:dyDescent="0.3">
      <c r="A78">
        <v>74</v>
      </c>
      <c r="B78">
        <v>3</v>
      </c>
      <c r="C78" s="29">
        <v>61</v>
      </c>
      <c r="D78" s="55"/>
      <c r="E78" s="55"/>
      <c r="F78" s="55"/>
      <c r="G78" s="55"/>
      <c r="H78" s="50">
        <v>61</v>
      </c>
      <c r="I78" s="50"/>
      <c r="J78" s="50"/>
      <c r="K78" s="50"/>
      <c r="L78" s="50"/>
      <c r="M78" s="48"/>
      <c r="N78" s="48"/>
      <c r="O78" s="29" t="s">
        <v>314</v>
      </c>
      <c r="P78" s="55">
        <v>1</v>
      </c>
      <c r="Q78" s="42"/>
      <c r="R78" s="51" t="s">
        <v>462</v>
      </c>
      <c r="S78" s="48"/>
      <c r="T78" s="48"/>
      <c r="U78" s="48"/>
      <c r="V78" s="50"/>
      <c r="W78" s="111" t="s">
        <v>737</v>
      </c>
      <c r="X78" s="59" t="s">
        <v>696</v>
      </c>
      <c r="Y78" s="108" t="s">
        <v>737</v>
      </c>
    </row>
    <row r="79" spans="1:25" ht="25.8" customHeight="1" x14ac:dyDescent="0.3">
      <c r="A79">
        <v>75</v>
      </c>
      <c r="B79">
        <v>4</v>
      </c>
      <c r="C79" s="29">
        <v>62</v>
      </c>
      <c r="D79" s="55"/>
      <c r="E79" s="55"/>
      <c r="F79" s="55">
        <v>20</v>
      </c>
      <c r="G79" s="55"/>
      <c r="H79" s="50"/>
      <c r="I79" s="50">
        <v>62</v>
      </c>
      <c r="J79" s="50"/>
      <c r="K79" s="50"/>
      <c r="L79" s="56"/>
      <c r="M79" s="38" t="s">
        <v>125</v>
      </c>
      <c r="N79" s="48" t="s">
        <v>139</v>
      </c>
      <c r="O79" s="29" t="s">
        <v>314</v>
      </c>
      <c r="P79" s="55">
        <v>6</v>
      </c>
      <c r="Q79" s="42" t="s">
        <v>404</v>
      </c>
      <c r="R79" s="51" t="s">
        <v>505</v>
      </c>
      <c r="S79" s="48"/>
      <c r="T79" s="48"/>
      <c r="U79" s="48"/>
      <c r="V79" s="50"/>
      <c r="W79" s="111" t="s">
        <v>723</v>
      </c>
      <c r="X79" s="59" t="s">
        <v>506</v>
      </c>
      <c r="Y79" s="86"/>
    </row>
    <row r="80" spans="1:25" ht="31.8" customHeight="1" x14ac:dyDescent="0.3">
      <c r="A80">
        <v>76</v>
      </c>
      <c r="B80">
        <v>5</v>
      </c>
      <c r="C80" s="29">
        <v>112</v>
      </c>
      <c r="D80" s="55"/>
      <c r="E80" s="55"/>
      <c r="F80" s="55"/>
      <c r="G80" s="55">
        <v>18</v>
      </c>
      <c r="H80" s="50"/>
      <c r="I80" s="50"/>
      <c r="J80" s="50"/>
      <c r="K80" s="50">
        <v>40</v>
      </c>
      <c r="L80" s="50"/>
      <c r="M80" s="38" t="s">
        <v>264</v>
      </c>
      <c r="N80" s="38" t="s">
        <v>282</v>
      </c>
      <c r="O80" s="29" t="s">
        <v>314</v>
      </c>
      <c r="P80" s="55">
        <v>8</v>
      </c>
      <c r="Q80" s="38" t="s">
        <v>282</v>
      </c>
      <c r="R80" s="46" t="s">
        <v>804</v>
      </c>
      <c r="S80" s="38"/>
      <c r="T80" s="38"/>
      <c r="U80" s="48"/>
      <c r="V80" s="50" t="s">
        <v>435</v>
      </c>
      <c r="W80" s="111" t="s">
        <v>456</v>
      </c>
      <c r="X80" s="59" t="s">
        <v>586</v>
      </c>
      <c r="Y80" s="74"/>
    </row>
    <row r="81" spans="1:25" ht="22.2" customHeight="1" x14ac:dyDescent="0.3">
      <c r="A81">
        <v>77</v>
      </c>
      <c r="B81">
        <v>58</v>
      </c>
      <c r="C81" s="29">
        <v>116</v>
      </c>
      <c r="D81" s="55"/>
      <c r="E81" s="55"/>
      <c r="F81" s="55"/>
      <c r="G81" s="55">
        <v>20</v>
      </c>
      <c r="H81" s="50"/>
      <c r="I81" s="50"/>
      <c r="J81" s="50"/>
      <c r="K81" s="50">
        <v>44</v>
      </c>
      <c r="L81" s="50"/>
      <c r="M81" s="38" t="s">
        <v>267</v>
      </c>
      <c r="N81" s="38" t="s">
        <v>283</v>
      </c>
      <c r="O81" s="29" t="s">
        <v>314</v>
      </c>
      <c r="P81" s="55">
        <v>7</v>
      </c>
      <c r="Q81" s="38" t="s">
        <v>283</v>
      </c>
      <c r="R81" s="46" t="s">
        <v>803</v>
      </c>
      <c r="S81" s="38"/>
      <c r="T81" s="38"/>
      <c r="U81" s="48"/>
      <c r="V81" s="50"/>
      <c r="W81" s="111" t="s">
        <v>475</v>
      </c>
      <c r="X81" s="59" t="s">
        <v>585</v>
      </c>
      <c r="Y81" s="74" t="s">
        <v>750</v>
      </c>
    </row>
    <row r="82" spans="1:25" ht="24.45" customHeight="1" x14ac:dyDescent="0.3">
      <c r="A82">
        <v>78</v>
      </c>
      <c r="B82">
        <v>59</v>
      </c>
      <c r="C82" s="29">
        <v>119</v>
      </c>
      <c r="D82" s="71"/>
      <c r="E82" s="71"/>
      <c r="F82" s="71"/>
      <c r="G82" s="71">
        <v>24</v>
      </c>
      <c r="H82" s="54"/>
      <c r="I82" s="54"/>
      <c r="J82" s="54">
        <v>47</v>
      </c>
      <c r="K82" s="50"/>
      <c r="L82" s="50"/>
      <c r="M82" s="38" t="s">
        <v>290</v>
      </c>
      <c r="N82" s="38" t="s">
        <v>292</v>
      </c>
      <c r="O82" s="29" t="s">
        <v>314</v>
      </c>
      <c r="P82" s="55">
        <v>10</v>
      </c>
      <c r="Q82" s="38" t="s">
        <v>292</v>
      </c>
      <c r="R82" s="46" t="s">
        <v>806</v>
      </c>
      <c r="S82" s="38"/>
      <c r="T82" s="38"/>
      <c r="U82" s="48"/>
      <c r="V82" s="50" t="s">
        <v>435</v>
      </c>
      <c r="W82" s="111" t="s">
        <v>457</v>
      </c>
      <c r="X82" s="59" t="s">
        <v>588</v>
      </c>
      <c r="Y82" s="74"/>
    </row>
    <row r="83" spans="1:25" ht="14.55" customHeight="1" x14ac:dyDescent="0.3">
      <c r="A83">
        <v>79</v>
      </c>
      <c r="B83">
        <v>60</v>
      </c>
      <c r="C83" s="29">
        <v>121</v>
      </c>
      <c r="D83" s="55"/>
      <c r="E83" s="55"/>
      <c r="F83" s="55"/>
      <c r="G83" s="55">
        <v>26</v>
      </c>
      <c r="H83" s="50"/>
      <c r="I83" s="50"/>
      <c r="J83" s="50">
        <v>49</v>
      </c>
      <c r="K83" s="50"/>
      <c r="L83" s="50"/>
      <c r="M83" s="38" t="s">
        <v>293</v>
      </c>
      <c r="N83" s="38" t="s">
        <v>295</v>
      </c>
      <c r="O83" s="29" t="s">
        <v>314</v>
      </c>
      <c r="P83" s="55">
        <v>12</v>
      </c>
      <c r="Q83" s="38" t="s">
        <v>295</v>
      </c>
      <c r="R83" s="46" t="s">
        <v>494</v>
      </c>
      <c r="S83" s="38"/>
      <c r="T83" s="38"/>
      <c r="U83" s="48"/>
      <c r="V83" s="50" t="s">
        <v>435</v>
      </c>
      <c r="W83" s="111" t="s">
        <v>458</v>
      </c>
      <c r="X83" s="59" t="s">
        <v>590</v>
      </c>
      <c r="Y83" s="86"/>
    </row>
    <row r="84" spans="1:25" ht="22.8" x14ac:dyDescent="0.3">
      <c r="A84">
        <v>80</v>
      </c>
      <c r="B84">
        <v>63</v>
      </c>
      <c r="C84" s="29">
        <v>123</v>
      </c>
      <c r="D84" s="55"/>
      <c r="E84" s="55"/>
      <c r="F84" s="55"/>
      <c r="G84" s="55">
        <v>28</v>
      </c>
      <c r="H84" s="50"/>
      <c r="I84" s="50"/>
      <c r="J84" s="50">
        <v>51</v>
      </c>
      <c r="K84" s="50"/>
      <c r="L84" s="50"/>
      <c r="M84" s="38" t="s">
        <v>32</v>
      </c>
      <c r="N84" s="38" t="s">
        <v>32</v>
      </c>
      <c r="O84" s="29" t="s">
        <v>314</v>
      </c>
      <c r="P84" s="55">
        <v>14</v>
      </c>
      <c r="Q84" s="38" t="s">
        <v>416</v>
      </c>
      <c r="R84" s="46" t="s">
        <v>505</v>
      </c>
      <c r="S84" s="38"/>
      <c r="T84" s="38"/>
      <c r="U84" s="48"/>
      <c r="V84" s="50"/>
      <c r="W84" s="111" t="s">
        <v>723</v>
      </c>
      <c r="X84" s="59" t="s">
        <v>592</v>
      </c>
      <c r="Y84" s="74"/>
    </row>
    <row r="85" spans="1:25" ht="25.2" customHeight="1" x14ac:dyDescent="0.3">
      <c r="A85">
        <v>81</v>
      </c>
      <c r="B85">
        <v>64</v>
      </c>
      <c r="C85" s="29">
        <v>124</v>
      </c>
      <c r="D85" s="80"/>
      <c r="E85" s="80"/>
      <c r="F85" s="80"/>
      <c r="G85" s="80">
        <v>4</v>
      </c>
      <c r="H85" s="82"/>
      <c r="I85" s="82"/>
      <c r="J85" s="82"/>
      <c r="K85" s="50">
        <v>52</v>
      </c>
      <c r="L85" s="50"/>
      <c r="M85" s="38" t="s">
        <v>245</v>
      </c>
      <c r="N85" s="38" t="s">
        <v>278</v>
      </c>
      <c r="O85" s="29" t="s">
        <v>314</v>
      </c>
      <c r="P85" s="55">
        <v>9</v>
      </c>
      <c r="Q85" s="38" t="s">
        <v>278</v>
      </c>
      <c r="R85" s="46" t="s">
        <v>805</v>
      </c>
      <c r="S85" s="38"/>
      <c r="T85" s="38"/>
      <c r="U85" s="48"/>
      <c r="V85" s="50" t="s">
        <v>335</v>
      </c>
      <c r="W85" s="111" t="s">
        <v>324</v>
      </c>
      <c r="X85" s="59" t="s">
        <v>702</v>
      </c>
      <c r="Y85" s="86"/>
    </row>
    <row r="86" spans="1:25" ht="24.45" customHeight="1" x14ac:dyDescent="0.3">
      <c r="A86">
        <v>82</v>
      </c>
      <c r="B86">
        <v>65</v>
      </c>
      <c r="C86" s="29">
        <v>125</v>
      </c>
      <c r="D86" s="79"/>
      <c r="E86" s="79"/>
      <c r="F86" s="79"/>
      <c r="G86" s="79">
        <v>30</v>
      </c>
      <c r="H86" s="81"/>
      <c r="I86" s="81"/>
      <c r="J86" s="81">
        <v>53</v>
      </c>
      <c r="K86" s="50"/>
      <c r="L86" s="50"/>
      <c r="M86" s="38" t="s">
        <v>297</v>
      </c>
      <c r="N86" s="38" t="s">
        <v>299</v>
      </c>
      <c r="O86" s="29" t="s">
        <v>314</v>
      </c>
      <c r="P86" s="55">
        <v>15</v>
      </c>
      <c r="Q86" s="38" t="s">
        <v>417</v>
      </c>
      <c r="R86" s="46"/>
      <c r="S86" s="38"/>
      <c r="T86" s="38"/>
      <c r="U86" s="48"/>
      <c r="V86" s="50"/>
      <c r="W86" s="111" t="s">
        <v>723</v>
      </c>
      <c r="X86" s="59" t="s">
        <v>593</v>
      </c>
      <c r="Y86" s="74"/>
    </row>
    <row r="87" spans="1:25" ht="14.55" customHeight="1" x14ac:dyDescent="0.3">
      <c r="A87">
        <v>83</v>
      </c>
      <c r="B87">
        <v>66</v>
      </c>
      <c r="C87" s="29">
        <v>127</v>
      </c>
      <c r="D87" s="55"/>
      <c r="E87" s="55"/>
      <c r="F87" s="55"/>
      <c r="G87" s="55">
        <v>10</v>
      </c>
      <c r="H87" s="50"/>
      <c r="I87" s="50"/>
      <c r="J87" s="50">
        <v>55</v>
      </c>
      <c r="K87" s="50"/>
      <c r="L87" s="50"/>
      <c r="M87" s="38" t="s">
        <v>253</v>
      </c>
      <c r="N87" s="38" t="s">
        <v>280</v>
      </c>
      <c r="O87" s="29" t="s">
        <v>314</v>
      </c>
      <c r="P87" s="55">
        <v>13</v>
      </c>
      <c r="Q87" s="38" t="s">
        <v>280</v>
      </c>
      <c r="R87" s="46" t="s">
        <v>503</v>
      </c>
      <c r="S87" s="38"/>
      <c r="T87" s="38"/>
      <c r="U87" s="48"/>
      <c r="V87" s="50" t="s">
        <v>335</v>
      </c>
      <c r="W87" s="111" t="s">
        <v>326</v>
      </c>
      <c r="X87" s="59" t="s">
        <v>704</v>
      </c>
      <c r="Y87" s="86"/>
    </row>
    <row r="88" spans="1:25" ht="22.8" x14ac:dyDescent="0.3">
      <c r="A88">
        <v>84</v>
      </c>
      <c r="B88">
        <v>67</v>
      </c>
      <c r="C88" s="29">
        <v>128</v>
      </c>
      <c r="D88" s="32"/>
      <c r="E88" s="32"/>
      <c r="F88" s="32"/>
      <c r="G88" s="32">
        <v>6</v>
      </c>
      <c r="H88" s="50"/>
      <c r="I88" s="50"/>
      <c r="J88" s="50"/>
      <c r="K88" s="50">
        <v>56</v>
      </c>
      <c r="L88" s="50"/>
      <c r="M88" s="38" t="s">
        <v>248</v>
      </c>
      <c r="N88" s="38" t="s">
        <v>279</v>
      </c>
      <c r="O88" s="29" t="s">
        <v>314</v>
      </c>
      <c r="P88" s="32">
        <v>11</v>
      </c>
      <c r="Q88" s="38" t="s">
        <v>279</v>
      </c>
      <c r="R88" s="46" t="s">
        <v>762</v>
      </c>
      <c r="S88" s="38"/>
      <c r="T88" s="38"/>
      <c r="U88" s="48"/>
      <c r="V88" s="50" t="s">
        <v>335</v>
      </c>
      <c r="W88" s="111" t="s">
        <v>325</v>
      </c>
      <c r="X88" s="59" t="s">
        <v>703</v>
      </c>
      <c r="Y88" s="86"/>
    </row>
    <row r="89" spans="1:25" ht="22.8" x14ac:dyDescent="0.3">
      <c r="A89">
        <v>85</v>
      </c>
      <c r="B89">
        <v>68</v>
      </c>
      <c r="C89" s="29">
        <v>136</v>
      </c>
      <c r="D89" s="55"/>
      <c r="E89" s="55"/>
      <c r="F89" s="55"/>
      <c r="G89" s="55">
        <v>33</v>
      </c>
      <c r="H89" s="50"/>
      <c r="I89" s="50"/>
      <c r="J89" s="50"/>
      <c r="K89" s="50">
        <v>64</v>
      </c>
      <c r="L89" s="50"/>
      <c r="M89" s="38" t="s">
        <v>240</v>
      </c>
      <c r="N89" s="38" t="s">
        <v>277</v>
      </c>
      <c r="O89" s="29" t="s">
        <v>314</v>
      </c>
      <c r="P89" s="55">
        <v>0</v>
      </c>
      <c r="Q89" s="38" t="s">
        <v>277</v>
      </c>
      <c r="R89" s="46" t="s">
        <v>463</v>
      </c>
      <c r="S89" s="38"/>
      <c r="T89" s="38"/>
      <c r="U89" s="48"/>
      <c r="V89" s="50"/>
      <c r="W89" s="111" t="s">
        <v>736</v>
      </c>
      <c r="X89" s="59" t="s">
        <v>707</v>
      </c>
      <c r="Y89" s="108" t="s">
        <v>736</v>
      </c>
    </row>
    <row r="90" spans="1:25" ht="69.599999999999994" hidden="1" x14ac:dyDescent="0.3">
      <c r="A90">
        <v>86</v>
      </c>
      <c r="C90" s="29">
        <v>6</v>
      </c>
      <c r="D90" s="32"/>
      <c r="E90" s="32"/>
      <c r="F90" s="32"/>
      <c r="G90" s="32"/>
      <c r="H90" s="50"/>
      <c r="I90" s="50">
        <v>6</v>
      </c>
      <c r="J90" s="50"/>
      <c r="K90" s="50"/>
      <c r="L90" s="50"/>
      <c r="M90" s="48"/>
      <c r="N90" s="53" t="s">
        <v>393</v>
      </c>
      <c r="O90" s="29" t="s">
        <v>308</v>
      </c>
      <c r="P90" s="32" t="s">
        <v>308</v>
      </c>
      <c r="Q90" s="53"/>
      <c r="R90" s="51"/>
      <c r="S90" s="48"/>
      <c r="T90" s="48"/>
      <c r="U90" s="48"/>
      <c r="V90" s="50" t="s">
        <v>33</v>
      </c>
      <c r="W90" s="116" t="s">
        <v>879</v>
      </c>
      <c r="X90" s="59" t="s">
        <v>726</v>
      </c>
      <c r="Y90" s="86"/>
    </row>
    <row r="91" spans="1:25" ht="27" customHeight="1" x14ac:dyDescent="0.3">
      <c r="A91">
        <v>87</v>
      </c>
      <c r="B91">
        <v>10</v>
      </c>
      <c r="C91" s="29">
        <v>9</v>
      </c>
      <c r="D91" s="52"/>
      <c r="E91" s="52"/>
      <c r="F91" s="52"/>
      <c r="G91" s="52"/>
      <c r="H91" s="50">
        <v>9</v>
      </c>
      <c r="I91" s="50"/>
      <c r="J91" s="50"/>
      <c r="K91" s="50"/>
      <c r="L91" s="50"/>
      <c r="M91" s="48"/>
      <c r="N91" s="48"/>
      <c r="O91" s="29" t="s">
        <v>315</v>
      </c>
      <c r="P91" s="52">
        <v>6</v>
      </c>
      <c r="Q91" s="48" t="s">
        <v>405</v>
      </c>
      <c r="R91" s="51" t="s">
        <v>766</v>
      </c>
      <c r="S91" s="48"/>
      <c r="T91" s="48"/>
      <c r="U91" s="48" t="s">
        <v>768</v>
      </c>
      <c r="V91" s="29" t="s">
        <v>335</v>
      </c>
      <c r="W91" s="111" t="s">
        <v>464</v>
      </c>
      <c r="X91" s="59" t="s">
        <v>697</v>
      </c>
      <c r="Y91" s="86" t="s">
        <v>768</v>
      </c>
    </row>
    <row r="92" spans="1:25" ht="25.2" customHeight="1" x14ac:dyDescent="0.3">
      <c r="A92">
        <v>88</v>
      </c>
      <c r="B92">
        <v>11</v>
      </c>
      <c r="C92" s="29">
        <v>11</v>
      </c>
      <c r="D92" s="79"/>
      <c r="E92" s="79"/>
      <c r="F92" s="79">
        <v>26</v>
      </c>
      <c r="G92" s="79"/>
      <c r="H92" s="81">
        <v>11</v>
      </c>
      <c r="I92" s="81"/>
      <c r="J92" s="81"/>
      <c r="K92" s="50"/>
      <c r="L92" s="50"/>
      <c r="M92" s="38" t="s">
        <v>131</v>
      </c>
      <c r="N92" s="48" t="s">
        <v>140</v>
      </c>
      <c r="O92" s="29" t="s">
        <v>315</v>
      </c>
      <c r="P92" s="55">
        <v>7</v>
      </c>
      <c r="Q92" s="48" t="s">
        <v>406</v>
      </c>
      <c r="R92" s="51" t="s">
        <v>767</v>
      </c>
      <c r="S92" s="48"/>
      <c r="T92" s="48"/>
      <c r="U92" s="48" t="s">
        <v>769</v>
      </c>
      <c r="V92" s="29" t="s">
        <v>335</v>
      </c>
      <c r="W92" s="111" t="s">
        <v>465</v>
      </c>
      <c r="X92" s="59" t="s">
        <v>526</v>
      </c>
      <c r="Y92" s="86" t="s">
        <v>769</v>
      </c>
    </row>
    <row r="93" spans="1:25" ht="24.45" hidden="1" customHeight="1" x14ac:dyDescent="0.3">
      <c r="A93">
        <v>89</v>
      </c>
      <c r="B93">
        <v>12</v>
      </c>
      <c r="C93" s="29">
        <v>51</v>
      </c>
      <c r="D93" s="55"/>
      <c r="E93" s="55"/>
      <c r="F93" s="55">
        <v>19</v>
      </c>
      <c r="G93" s="55"/>
      <c r="H93" s="50">
        <v>51</v>
      </c>
      <c r="I93" s="50"/>
      <c r="J93" s="50"/>
      <c r="K93" s="50"/>
      <c r="L93" s="50"/>
      <c r="M93" s="38" t="s">
        <v>100</v>
      </c>
      <c r="N93" s="48" t="s">
        <v>136</v>
      </c>
      <c r="O93" s="29" t="s">
        <v>315</v>
      </c>
      <c r="P93" s="55">
        <v>1</v>
      </c>
      <c r="Q93" s="48"/>
      <c r="R93" s="51" t="s">
        <v>517</v>
      </c>
      <c r="S93" s="48"/>
      <c r="T93" s="48"/>
      <c r="U93" s="48"/>
      <c r="V93" s="50" t="s">
        <v>335</v>
      </c>
      <c r="W93" s="111" t="s">
        <v>451</v>
      </c>
      <c r="X93" s="59" t="s">
        <v>518</v>
      </c>
      <c r="Y93" s="86" t="s">
        <v>731</v>
      </c>
    </row>
    <row r="94" spans="1:25" ht="14.55" hidden="1" customHeight="1" x14ac:dyDescent="0.3">
      <c r="A94">
        <v>90</v>
      </c>
      <c r="B94">
        <v>13</v>
      </c>
      <c r="C94" s="29">
        <v>52</v>
      </c>
      <c r="D94" s="55"/>
      <c r="E94" s="55"/>
      <c r="F94" s="55">
        <v>17</v>
      </c>
      <c r="G94" s="55"/>
      <c r="H94" s="50"/>
      <c r="I94" s="50">
        <v>52</v>
      </c>
      <c r="J94" s="50"/>
      <c r="K94" s="50"/>
      <c r="L94" s="50"/>
      <c r="M94" s="38" t="s">
        <v>98</v>
      </c>
      <c r="N94" s="48" t="s">
        <v>136</v>
      </c>
      <c r="O94" s="29" t="s">
        <v>315</v>
      </c>
      <c r="P94" s="55">
        <v>2</v>
      </c>
      <c r="Q94" s="48"/>
      <c r="R94" s="51" t="s">
        <v>764</v>
      </c>
      <c r="S94" s="48"/>
      <c r="T94" s="48"/>
      <c r="U94" s="48"/>
      <c r="V94" s="50"/>
      <c r="W94" s="111" t="s">
        <v>723</v>
      </c>
      <c r="X94" s="59" t="s">
        <v>723</v>
      </c>
      <c r="Y94" s="86"/>
    </row>
    <row r="95" spans="1:25" ht="22.8" hidden="1" customHeight="1" x14ac:dyDescent="0.3">
      <c r="A95">
        <v>91</v>
      </c>
      <c r="B95">
        <v>14</v>
      </c>
      <c r="C95" s="29">
        <v>53</v>
      </c>
      <c r="D95" s="55"/>
      <c r="E95" s="55"/>
      <c r="F95" s="55">
        <v>21</v>
      </c>
      <c r="G95" s="55"/>
      <c r="H95" s="50">
        <v>53</v>
      </c>
      <c r="I95" s="50"/>
      <c r="J95" s="50"/>
      <c r="K95" s="50"/>
      <c r="L95" s="50"/>
      <c r="M95" s="38" t="s">
        <v>102</v>
      </c>
      <c r="N95" s="48" t="s">
        <v>136</v>
      </c>
      <c r="O95" s="29" t="s">
        <v>315</v>
      </c>
      <c r="P95" s="55">
        <v>0</v>
      </c>
      <c r="Q95" s="48"/>
      <c r="R95" s="51" t="s">
        <v>763</v>
      </c>
      <c r="S95" s="48"/>
      <c r="T95" s="48"/>
      <c r="U95" s="48"/>
      <c r="V95" s="50" t="s">
        <v>335</v>
      </c>
      <c r="W95" s="111" t="s">
        <v>452</v>
      </c>
      <c r="X95" s="59" t="s">
        <v>516</v>
      </c>
      <c r="Y95" s="86" t="s">
        <v>732</v>
      </c>
    </row>
    <row r="96" spans="1:25" ht="22.8" x14ac:dyDescent="0.3">
      <c r="A96">
        <v>92</v>
      </c>
      <c r="B96">
        <v>15</v>
      </c>
      <c r="C96" s="29">
        <v>54</v>
      </c>
      <c r="D96" s="55"/>
      <c r="E96" s="55"/>
      <c r="F96" s="55">
        <v>24</v>
      </c>
      <c r="G96" s="55"/>
      <c r="H96" s="50"/>
      <c r="I96" s="50">
        <v>54</v>
      </c>
      <c r="J96" s="50"/>
      <c r="K96" s="50"/>
      <c r="L96" s="50"/>
      <c r="M96" s="38" t="s">
        <v>129</v>
      </c>
      <c r="N96" s="48" t="s">
        <v>140</v>
      </c>
      <c r="O96" s="29" t="s">
        <v>315</v>
      </c>
      <c r="P96" s="55">
        <v>8</v>
      </c>
      <c r="Q96" s="48" t="s">
        <v>407</v>
      </c>
      <c r="R96" s="51" t="s">
        <v>770</v>
      </c>
      <c r="S96" s="48"/>
      <c r="T96" s="48"/>
      <c r="U96" s="48" t="s">
        <v>771</v>
      </c>
      <c r="V96" s="50"/>
      <c r="W96" s="111" t="s">
        <v>466</v>
      </c>
      <c r="X96" s="59" t="s">
        <v>528</v>
      </c>
      <c r="Y96" s="86" t="s">
        <v>771</v>
      </c>
    </row>
    <row r="97" spans="1:25" x14ac:dyDescent="0.3">
      <c r="A97">
        <v>93</v>
      </c>
      <c r="B97">
        <v>18</v>
      </c>
      <c r="C97" s="29">
        <v>56</v>
      </c>
      <c r="D97" s="55"/>
      <c r="E97" s="55"/>
      <c r="F97" s="55">
        <v>28</v>
      </c>
      <c r="G97" s="55"/>
      <c r="H97" s="50"/>
      <c r="I97" s="50">
        <v>56</v>
      </c>
      <c r="J97" s="50"/>
      <c r="K97" s="50"/>
      <c r="L97" s="50"/>
      <c r="M97" s="38" t="s">
        <v>133</v>
      </c>
      <c r="N97" s="48" t="s">
        <v>140</v>
      </c>
      <c r="O97" s="29" t="s">
        <v>315</v>
      </c>
      <c r="P97" s="55">
        <v>9</v>
      </c>
      <c r="Q97" s="48" t="s">
        <v>408</v>
      </c>
      <c r="R97" s="51" t="s">
        <v>772</v>
      </c>
      <c r="S97" s="42"/>
      <c r="T97" s="42"/>
      <c r="U97" s="42" t="s">
        <v>773</v>
      </c>
      <c r="V97" s="29"/>
      <c r="W97" s="111" t="s">
        <v>467</v>
      </c>
      <c r="X97" s="59" t="s">
        <v>530</v>
      </c>
      <c r="Y97" s="86" t="s">
        <v>773</v>
      </c>
    </row>
    <row r="98" spans="1:25" ht="69.599999999999994" hidden="1" x14ac:dyDescent="0.3">
      <c r="A98">
        <v>94</v>
      </c>
      <c r="B98">
        <v>19</v>
      </c>
      <c r="C98" s="29">
        <v>108</v>
      </c>
      <c r="D98" s="55"/>
      <c r="E98" s="55"/>
      <c r="F98" s="55">
        <v>9</v>
      </c>
      <c r="G98" s="55"/>
      <c r="H98" s="50"/>
      <c r="I98" s="50"/>
      <c r="J98" s="50"/>
      <c r="K98" s="50">
        <v>36</v>
      </c>
      <c r="L98" s="50" t="s">
        <v>63</v>
      </c>
      <c r="M98" s="38" t="s">
        <v>57</v>
      </c>
      <c r="N98" s="53" t="s">
        <v>69</v>
      </c>
      <c r="O98" s="29" t="s">
        <v>315</v>
      </c>
      <c r="P98" s="55">
        <v>5</v>
      </c>
      <c r="Q98" s="53"/>
      <c r="R98" s="57"/>
      <c r="S98" s="53"/>
      <c r="T98" s="53"/>
      <c r="U98" s="48" t="s">
        <v>765</v>
      </c>
      <c r="V98" s="50" t="s">
        <v>335</v>
      </c>
      <c r="W98" s="111" t="s">
        <v>454</v>
      </c>
      <c r="X98" s="59" t="s">
        <v>522</v>
      </c>
      <c r="Y98" s="86" t="s">
        <v>752</v>
      </c>
    </row>
    <row r="99" spans="1:25" ht="22.8" hidden="1" x14ac:dyDescent="0.3">
      <c r="A99">
        <v>95</v>
      </c>
      <c r="B99">
        <v>0</v>
      </c>
      <c r="C99" s="29">
        <v>110</v>
      </c>
      <c r="D99" s="55"/>
      <c r="E99" s="55"/>
      <c r="F99" s="55"/>
      <c r="G99" s="55">
        <v>11</v>
      </c>
      <c r="H99" s="50"/>
      <c r="I99" s="50"/>
      <c r="J99" s="50"/>
      <c r="K99" s="50">
        <v>38</v>
      </c>
      <c r="L99" s="50"/>
      <c r="M99" s="38" t="s">
        <v>213</v>
      </c>
      <c r="N99" s="38" t="s">
        <v>273</v>
      </c>
      <c r="O99" s="29" t="s">
        <v>315</v>
      </c>
      <c r="P99" s="55">
        <v>4</v>
      </c>
      <c r="Q99" s="38"/>
      <c r="R99" s="46"/>
      <c r="S99" s="38"/>
      <c r="T99" s="38"/>
      <c r="U99" s="48" t="s">
        <v>273</v>
      </c>
      <c r="V99" s="50"/>
      <c r="W99" s="111" t="s">
        <v>469</v>
      </c>
      <c r="X99" s="59" t="s">
        <v>520</v>
      </c>
      <c r="Y99" s="74"/>
    </row>
    <row r="100" spans="1:25" ht="79.8" hidden="1" x14ac:dyDescent="0.3">
      <c r="A100">
        <v>96</v>
      </c>
      <c r="B100">
        <v>21</v>
      </c>
      <c r="C100" s="29">
        <v>114</v>
      </c>
      <c r="D100" s="32"/>
      <c r="E100" s="32"/>
      <c r="F100" s="32">
        <v>11</v>
      </c>
      <c r="G100" s="32"/>
      <c r="H100" s="29"/>
      <c r="I100" s="29"/>
      <c r="J100" s="29"/>
      <c r="K100" s="29">
        <v>42</v>
      </c>
      <c r="L100" s="29" t="s">
        <v>62</v>
      </c>
      <c r="M100" s="40" t="s">
        <v>57</v>
      </c>
      <c r="N100" s="40" t="s">
        <v>70</v>
      </c>
      <c r="O100" s="29" t="s">
        <v>315</v>
      </c>
      <c r="P100" s="32">
        <v>10</v>
      </c>
      <c r="Q100" s="40"/>
      <c r="R100" s="57"/>
      <c r="S100" s="53"/>
      <c r="T100" s="53"/>
      <c r="U100" s="48" t="s">
        <v>778</v>
      </c>
      <c r="V100" s="50" t="s">
        <v>335</v>
      </c>
      <c r="W100" s="111" t="s">
        <v>468</v>
      </c>
      <c r="X100" s="59" t="s">
        <v>532</v>
      </c>
      <c r="Y100" s="86"/>
    </row>
    <row r="101" spans="1:25" ht="25.8" hidden="1" customHeight="1" x14ac:dyDescent="0.3">
      <c r="A101">
        <v>97</v>
      </c>
      <c r="B101">
        <v>22</v>
      </c>
      <c r="C101" s="29">
        <v>122</v>
      </c>
      <c r="D101" s="55"/>
      <c r="E101" s="55"/>
      <c r="F101" s="55"/>
      <c r="G101" s="55">
        <v>8</v>
      </c>
      <c r="H101" s="50"/>
      <c r="I101" s="50"/>
      <c r="J101" s="50"/>
      <c r="K101" s="50">
        <v>50</v>
      </c>
      <c r="L101" s="50"/>
      <c r="M101" s="39" t="s">
        <v>32</v>
      </c>
      <c r="N101" s="39" t="s">
        <v>32</v>
      </c>
      <c r="O101" s="29" t="s">
        <v>315</v>
      </c>
      <c r="P101" s="55">
        <v>14</v>
      </c>
      <c r="Q101" s="39"/>
      <c r="R101" s="119" t="s">
        <v>801</v>
      </c>
      <c r="S101" s="39"/>
      <c r="T101" s="39"/>
      <c r="U101" s="48"/>
      <c r="V101" s="50"/>
      <c r="W101" s="111" t="s">
        <v>443</v>
      </c>
      <c r="X101" s="59" t="s">
        <v>581</v>
      </c>
      <c r="Y101" s="74"/>
    </row>
    <row r="102" spans="1:25" ht="14.55" hidden="1" customHeight="1" x14ac:dyDescent="0.3">
      <c r="A102">
        <v>98</v>
      </c>
      <c r="B102">
        <v>49</v>
      </c>
      <c r="C102" s="29">
        <v>129</v>
      </c>
      <c r="D102" s="55"/>
      <c r="E102" s="55"/>
      <c r="F102" s="55"/>
      <c r="G102" s="55">
        <v>2</v>
      </c>
      <c r="H102" s="50"/>
      <c r="I102" s="50"/>
      <c r="J102" s="50">
        <v>57</v>
      </c>
      <c r="K102" s="50"/>
      <c r="L102" s="50"/>
      <c r="M102" s="38" t="s">
        <v>32</v>
      </c>
      <c r="N102" s="38" t="s">
        <v>32</v>
      </c>
      <c r="O102" s="29" t="s">
        <v>315</v>
      </c>
      <c r="P102" s="55">
        <v>13</v>
      </c>
      <c r="Q102" s="38"/>
      <c r="R102" s="46" t="s">
        <v>800</v>
      </c>
      <c r="S102" s="38"/>
      <c r="T102" s="38"/>
      <c r="U102" s="48"/>
      <c r="V102" s="50"/>
      <c r="W102" s="111" t="s">
        <v>440</v>
      </c>
      <c r="X102" s="59" t="s">
        <v>580</v>
      </c>
      <c r="Y102" s="74"/>
    </row>
    <row r="103" spans="1:25" ht="26.55" hidden="1" customHeight="1" x14ac:dyDescent="0.3">
      <c r="A103">
        <v>99</v>
      </c>
      <c r="B103">
        <v>50</v>
      </c>
      <c r="C103" s="29">
        <v>130</v>
      </c>
      <c r="D103" s="52"/>
      <c r="E103" s="52"/>
      <c r="F103" s="52">
        <v>7</v>
      </c>
      <c r="G103" s="52"/>
      <c r="H103" s="50"/>
      <c r="I103" s="50"/>
      <c r="J103" s="50"/>
      <c r="K103" s="50">
        <v>58</v>
      </c>
      <c r="L103" s="50"/>
      <c r="M103" s="38" t="s">
        <v>57</v>
      </c>
      <c r="N103" s="38" t="s">
        <v>67</v>
      </c>
      <c r="O103" s="29" t="s">
        <v>315</v>
      </c>
      <c r="P103" s="52">
        <v>3</v>
      </c>
      <c r="Q103" s="38"/>
      <c r="R103" s="46"/>
      <c r="S103" s="38"/>
      <c r="T103" s="38"/>
      <c r="U103" s="48" t="s">
        <v>67</v>
      </c>
      <c r="V103" s="50"/>
      <c r="W103" s="111" t="s">
        <v>891</v>
      </c>
      <c r="X103" s="59" t="s">
        <v>519</v>
      </c>
      <c r="Y103" s="74"/>
    </row>
    <row r="104" spans="1:25" ht="14.55" hidden="1" customHeight="1" x14ac:dyDescent="0.3">
      <c r="A104">
        <v>100</v>
      </c>
      <c r="B104">
        <v>53</v>
      </c>
      <c r="C104" s="29">
        <v>131</v>
      </c>
      <c r="D104" s="71">
        <v>20</v>
      </c>
      <c r="E104" s="71"/>
      <c r="F104" s="71"/>
      <c r="G104" s="71"/>
      <c r="H104" s="54"/>
      <c r="I104" s="54"/>
      <c r="J104" s="54">
        <v>59</v>
      </c>
      <c r="K104" s="50"/>
      <c r="L104" s="50"/>
      <c r="M104" s="38" t="s">
        <v>32</v>
      </c>
      <c r="N104" s="38" t="s">
        <v>32</v>
      </c>
      <c r="O104" s="29" t="s">
        <v>315</v>
      </c>
      <c r="P104" s="55">
        <v>12</v>
      </c>
      <c r="Q104" s="38"/>
      <c r="R104" s="46"/>
      <c r="S104" s="38"/>
      <c r="T104" s="38"/>
      <c r="U104" s="48"/>
      <c r="V104" s="50"/>
      <c r="W104" s="111" t="s">
        <v>723</v>
      </c>
      <c r="X104" s="59" t="s">
        <v>579</v>
      </c>
      <c r="Y104" s="74"/>
    </row>
    <row r="105" spans="1:25" ht="27" hidden="1" customHeight="1" x14ac:dyDescent="0.3">
      <c r="A105">
        <v>101</v>
      </c>
      <c r="B105">
        <v>54</v>
      </c>
      <c r="C105" s="29">
        <v>132</v>
      </c>
      <c r="D105" s="55"/>
      <c r="E105" s="55"/>
      <c r="F105" s="55"/>
      <c r="G105" s="55">
        <v>12</v>
      </c>
      <c r="H105" s="50"/>
      <c r="I105" s="50"/>
      <c r="J105" s="50"/>
      <c r="K105" s="50">
        <v>60</v>
      </c>
      <c r="L105" s="50"/>
      <c r="M105" s="38" t="s">
        <v>32</v>
      </c>
      <c r="N105" s="39" t="s">
        <v>32</v>
      </c>
      <c r="O105" s="29" t="s">
        <v>315</v>
      </c>
      <c r="P105" s="55">
        <v>15</v>
      </c>
      <c r="Q105" s="39"/>
      <c r="R105" s="119" t="s">
        <v>802</v>
      </c>
      <c r="S105" s="39"/>
      <c r="T105" s="39"/>
      <c r="U105" s="48"/>
      <c r="V105" s="50"/>
      <c r="W105" s="111" t="s">
        <v>445</v>
      </c>
      <c r="X105" s="59" t="s">
        <v>582</v>
      </c>
      <c r="Y105" s="74"/>
    </row>
    <row r="106" spans="1:25" ht="14.55" hidden="1" customHeight="1" x14ac:dyDescent="0.3">
      <c r="A106">
        <v>102</v>
      </c>
      <c r="B106">
        <v>55</v>
      </c>
      <c r="C106" s="29">
        <v>134</v>
      </c>
      <c r="D106" s="70"/>
      <c r="E106" s="70"/>
      <c r="F106" s="70"/>
      <c r="G106" s="70"/>
      <c r="H106" s="41"/>
      <c r="I106" s="41"/>
      <c r="J106" s="41"/>
      <c r="K106" s="29">
        <v>62</v>
      </c>
      <c r="L106" s="29"/>
      <c r="M106" s="29"/>
      <c r="N106" s="29"/>
      <c r="O106" s="29" t="s">
        <v>315</v>
      </c>
      <c r="P106" s="32">
        <v>11</v>
      </c>
      <c r="Q106" s="29"/>
      <c r="R106" s="40" t="s">
        <v>772</v>
      </c>
      <c r="S106" s="29"/>
      <c r="T106" s="29"/>
      <c r="U106" s="29"/>
      <c r="V106" s="29"/>
      <c r="W106" s="111" t="s">
        <v>723</v>
      </c>
      <c r="X106" s="59" t="s">
        <v>578</v>
      </c>
      <c r="Y106" s="74"/>
    </row>
    <row r="107" spans="1:25" ht="14.55" hidden="1" customHeight="1" x14ac:dyDescent="0.3">
      <c r="A107">
        <v>103</v>
      </c>
      <c r="B107">
        <v>56</v>
      </c>
      <c r="C107" s="29">
        <v>42</v>
      </c>
      <c r="D107" s="55"/>
      <c r="E107" s="55">
        <v>14</v>
      </c>
      <c r="F107" s="55"/>
      <c r="G107" s="55"/>
      <c r="H107" s="50"/>
      <c r="I107" s="50">
        <v>42</v>
      </c>
      <c r="J107" s="50"/>
      <c r="K107" s="50"/>
      <c r="L107" s="50"/>
      <c r="M107" s="38" t="s">
        <v>32</v>
      </c>
      <c r="N107" s="38" t="s">
        <v>32</v>
      </c>
      <c r="O107" s="29" t="s">
        <v>316</v>
      </c>
      <c r="P107" s="55">
        <v>2</v>
      </c>
      <c r="Q107" s="38"/>
      <c r="R107" s="46"/>
      <c r="S107" s="38"/>
      <c r="T107" s="38"/>
      <c r="U107" s="48"/>
      <c r="V107" s="50"/>
      <c r="W107" s="111" t="s">
        <v>438</v>
      </c>
      <c r="X107" s="59" t="s">
        <v>617</v>
      </c>
      <c r="Y107" s="86"/>
    </row>
    <row r="108" spans="1:25" ht="28.8" hidden="1" customHeight="1" x14ac:dyDescent="0.3">
      <c r="A108">
        <v>104</v>
      </c>
      <c r="B108">
        <v>57</v>
      </c>
      <c r="C108" s="29">
        <v>44</v>
      </c>
      <c r="D108" s="71"/>
      <c r="E108" s="71">
        <v>16</v>
      </c>
      <c r="F108" s="71"/>
      <c r="G108" s="71"/>
      <c r="H108" s="54"/>
      <c r="I108" s="54">
        <v>44</v>
      </c>
      <c r="J108" s="54"/>
      <c r="K108" s="50"/>
      <c r="L108" s="50"/>
      <c r="M108" s="38" t="s">
        <v>32</v>
      </c>
      <c r="N108" s="38" t="s">
        <v>32</v>
      </c>
      <c r="O108" s="29" t="s">
        <v>316</v>
      </c>
      <c r="P108" s="55">
        <v>3</v>
      </c>
      <c r="Q108" s="38"/>
      <c r="R108" s="46"/>
      <c r="S108" s="38"/>
      <c r="T108" s="38"/>
      <c r="U108" s="48"/>
      <c r="V108" s="50"/>
      <c r="W108" s="111" t="s">
        <v>439</v>
      </c>
      <c r="X108" s="59" t="s">
        <v>618</v>
      </c>
      <c r="Y108" s="74"/>
    </row>
    <row r="109" spans="1:25" hidden="1" x14ac:dyDescent="0.3">
      <c r="A109">
        <v>105</v>
      </c>
      <c r="B109">
        <v>87</v>
      </c>
      <c r="C109" s="29">
        <v>58</v>
      </c>
      <c r="D109" s="55"/>
      <c r="E109" s="55"/>
      <c r="F109" s="55">
        <v>30</v>
      </c>
      <c r="G109" s="55"/>
      <c r="H109" s="50"/>
      <c r="I109" s="50">
        <v>58</v>
      </c>
      <c r="J109" s="50"/>
      <c r="K109" s="50"/>
      <c r="L109" s="50"/>
      <c r="M109" s="38" t="s">
        <v>32</v>
      </c>
      <c r="N109" s="38" t="s">
        <v>32</v>
      </c>
      <c r="O109" s="29" t="s">
        <v>316</v>
      </c>
      <c r="P109" s="55">
        <v>1</v>
      </c>
      <c r="Q109" s="38"/>
      <c r="R109" s="46"/>
      <c r="S109" s="38"/>
      <c r="T109" s="38"/>
      <c r="U109" s="48"/>
      <c r="V109" s="50"/>
      <c r="W109" s="111" t="s">
        <v>723</v>
      </c>
      <c r="X109" s="59" t="s">
        <v>701</v>
      </c>
      <c r="Y109" s="86"/>
    </row>
    <row r="110" spans="1:25" ht="14.55" hidden="1" customHeight="1" x14ac:dyDescent="0.3">
      <c r="A110">
        <v>106</v>
      </c>
      <c r="B110">
        <v>88</v>
      </c>
      <c r="C110" s="29">
        <v>59</v>
      </c>
      <c r="D110" s="55"/>
      <c r="E110" s="55"/>
      <c r="F110" s="55">
        <v>29</v>
      </c>
      <c r="G110" s="55"/>
      <c r="H110" s="50">
        <v>59</v>
      </c>
      <c r="I110" s="50"/>
      <c r="J110" s="50"/>
      <c r="K110" s="50"/>
      <c r="L110" s="50"/>
      <c r="M110" s="38" t="s">
        <v>32</v>
      </c>
      <c r="N110" s="38" t="s">
        <v>32</v>
      </c>
      <c r="O110" s="29" t="s">
        <v>316</v>
      </c>
      <c r="P110" s="55">
        <v>0</v>
      </c>
      <c r="Q110" s="38"/>
      <c r="R110" s="46"/>
      <c r="S110" s="38"/>
      <c r="T110" s="38"/>
      <c r="U110" s="48"/>
      <c r="V110" s="50"/>
      <c r="W110" s="111"/>
      <c r="X110" s="59"/>
      <c r="Y110" s="86" t="s">
        <v>735</v>
      </c>
    </row>
    <row r="111" spans="1:25" ht="14.55" hidden="1" customHeight="1" x14ac:dyDescent="0.3">
      <c r="A111">
        <v>107</v>
      </c>
      <c r="B111">
        <v>89</v>
      </c>
      <c r="C111" s="29">
        <v>63</v>
      </c>
      <c r="D111" s="71"/>
      <c r="E111" s="71"/>
      <c r="F111" s="71"/>
      <c r="G111" s="71">
        <v>16</v>
      </c>
      <c r="H111" s="54">
        <v>63</v>
      </c>
      <c r="I111" s="54"/>
      <c r="J111" s="54"/>
      <c r="K111" s="50"/>
      <c r="L111" s="50"/>
      <c r="M111" s="38" t="s">
        <v>261</v>
      </c>
      <c r="N111" s="38" t="s">
        <v>32</v>
      </c>
      <c r="O111" s="29" t="s">
        <v>316</v>
      </c>
      <c r="P111" s="55">
        <v>9</v>
      </c>
      <c r="Q111" s="38"/>
      <c r="R111" s="46" t="s">
        <v>358</v>
      </c>
      <c r="S111" s="38"/>
      <c r="T111" s="38"/>
      <c r="U111" s="48"/>
      <c r="V111" s="50" t="s">
        <v>335</v>
      </c>
      <c r="W111" s="111" t="s">
        <v>447</v>
      </c>
      <c r="X111" s="59"/>
      <c r="Y111" s="74" t="s">
        <v>738</v>
      </c>
    </row>
    <row r="112" spans="1:25" hidden="1" x14ac:dyDescent="0.3">
      <c r="A112">
        <v>108</v>
      </c>
      <c r="B112">
        <v>90</v>
      </c>
      <c r="C112" s="29">
        <v>64</v>
      </c>
      <c r="D112" s="55"/>
      <c r="E112" s="55"/>
      <c r="F112" s="55"/>
      <c r="G112" s="55"/>
      <c r="H112" s="50"/>
      <c r="I112" s="50">
        <v>64</v>
      </c>
      <c r="J112" s="50"/>
      <c r="K112" s="50"/>
      <c r="L112" s="50"/>
      <c r="M112" s="48"/>
      <c r="N112" s="48"/>
      <c r="O112" s="29" t="s">
        <v>316</v>
      </c>
      <c r="P112" s="55">
        <v>15</v>
      </c>
      <c r="Q112" s="48"/>
      <c r="R112" s="51" t="s">
        <v>364</v>
      </c>
      <c r="S112" s="48"/>
      <c r="T112" s="48"/>
      <c r="U112" s="48"/>
      <c r="V112" s="50"/>
      <c r="W112" s="111" t="s">
        <v>723</v>
      </c>
      <c r="X112" s="59" t="s">
        <v>706</v>
      </c>
      <c r="Y112" s="74"/>
    </row>
    <row r="113" spans="1:25" ht="14.55" hidden="1" customHeight="1" x14ac:dyDescent="0.3">
      <c r="A113">
        <v>109</v>
      </c>
      <c r="B113">
        <v>91</v>
      </c>
      <c r="C113" s="29">
        <v>65</v>
      </c>
      <c r="D113" s="55"/>
      <c r="E113" s="55"/>
      <c r="F113" s="55"/>
      <c r="G113" s="55"/>
      <c r="H113" s="50">
        <v>65</v>
      </c>
      <c r="I113" s="50"/>
      <c r="J113" s="50"/>
      <c r="K113" s="50"/>
      <c r="L113" s="50"/>
      <c r="M113" s="48"/>
      <c r="N113" s="48"/>
      <c r="O113" s="29" t="s">
        <v>316</v>
      </c>
      <c r="P113" s="55">
        <v>12</v>
      </c>
      <c r="Q113" s="48"/>
      <c r="R113" s="51" t="s">
        <v>839</v>
      </c>
      <c r="S113" s="48"/>
      <c r="T113" s="48"/>
      <c r="U113" s="48"/>
      <c r="V113" s="50"/>
      <c r="W113" s="111" t="s">
        <v>444</v>
      </c>
      <c r="X113" s="59" t="s">
        <v>675</v>
      </c>
      <c r="Y113" s="74" t="s">
        <v>739</v>
      </c>
    </row>
    <row r="114" spans="1:25" hidden="1" x14ac:dyDescent="0.3">
      <c r="A114">
        <v>110</v>
      </c>
      <c r="B114">
        <v>92</v>
      </c>
      <c r="C114" s="29">
        <v>66</v>
      </c>
      <c r="D114" s="55"/>
      <c r="E114" s="55"/>
      <c r="F114" s="55"/>
      <c r="G114" s="55"/>
      <c r="H114" s="50"/>
      <c r="I114" s="50">
        <v>66</v>
      </c>
      <c r="J114" s="50"/>
      <c r="K114" s="50"/>
      <c r="L114" s="50"/>
      <c r="M114" s="48"/>
      <c r="N114" s="48"/>
      <c r="O114" s="29" t="s">
        <v>316</v>
      </c>
      <c r="P114" s="55">
        <v>10</v>
      </c>
      <c r="Q114" s="48"/>
      <c r="R114" s="51"/>
      <c r="S114" s="48"/>
      <c r="T114" s="48"/>
      <c r="U114" s="48"/>
      <c r="V114" s="50"/>
      <c r="W114" s="111" t="s">
        <v>883</v>
      </c>
      <c r="X114" s="59"/>
      <c r="Y114" s="74"/>
    </row>
    <row r="115" spans="1:25" ht="45.6" hidden="1" x14ac:dyDescent="0.3">
      <c r="A115">
        <v>111</v>
      </c>
      <c r="B115">
        <v>93</v>
      </c>
      <c r="C115" s="29">
        <v>68</v>
      </c>
      <c r="D115" s="32"/>
      <c r="E115" s="32"/>
      <c r="F115" s="32"/>
      <c r="G115" s="32"/>
      <c r="H115" s="29"/>
      <c r="I115" s="29">
        <v>68</v>
      </c>
      <c r="J115" s="29"/>
      <c r="K115" s="29"/>
      <c r="L115" s="29"/>
      <c r="M115" s="120"/>
      <c r="N115" s="120"/>
      <c r="O115" s="29" t="s">
        <v>316</v>
      </c>
      <c r="P115" s="32">
        <v>13</v>
      </c>
      <c r="Q115" s="120"/>
      <c r="R115" s="121" t="s">
        <v>840</v>
      </c>
      <c r="S115" s="120"/>
      <c r="T115" s="120" t="s">
        <v>342</v>
      </c>
      <c r="U115" s="48" t="s">
        <v>366</v>
      </c>
      <c r="V115" s="29" t="s">
        <v>336</v>
      </c>
      <c r="W115" s="111" t="s">
        <v>720</v>
      </c>
      <c r="X115" s="59" t="s">
        <v>677</v>
      </c>
      <c r="Y115" s="74" t="s">
        <v>870</v>
      </c>
    </row>
    <row r="116" spans="1:25" ht="26.55" hidden="1" customHeight="1" x14ac:dyDescent="0.3">
      <c r="A116">
        <v>112</v>
      </c>
      <c r="B116">
        <v>124</v>
      </c>
      <c r="C116" s="29">
        <v>70</v>
      </c>
      <c r="D116" s="32"/>
      <c r="E116" s="32"/>
      <c r="F116" s="32"/>
      <c r="G116" s="32"/>
      <c r="H116" s="29"/>
      <c r="I116" s="29">
        <v>70</v>
      </c>
      <c r="J116" s="29"/>
      <c r="K116" s="29"/>
      <c r="L116" s="29"/>
      <c r="M116" s="42"/>
      <c r="N116" s="42"/>
      <c r="O116" s="29" t="s">
        <v>316</v>
      </c>
      <c r="P116" s="32">
        <v>11</v>
      </c>
      <c r="Q116" s="42"/>
      <c r="R116" s="40"/>
      <c r="S116" s="42"/>
      <c r="T116" s="42" t="s">
        <v>345</v>
      </c>
      <c r="U116" s="48" t="s">
        <v>365</v>
      </c>
      <c r="V116" s="29" t="s">
        <v>336</v>
      </c>
      <c r="W116" s="111"/>
      <c r="X116" s="59"/>
      <c r="Y116" s="74" t="s">
        <v>869</v>
      </c>
    </row>
    <row r="117" spans="1:25" ht="26.55" hidden="1" customHeight="1" x14ac:dyDescent="0.3">
      <c r="A117">
        <v>113</v>
      </c>
      <c r="B117">
        <v>125</v>
      </c>
      <c r="C117" s="29">
        <v>133</v>
      </c>
      <c r="D117" s="72"/>
      <c r="E117" s="72"/>
      <c r="F117" s="72"/>
      <c r="G117" s="72">
        <v>14</v>
      </c>
      <c r="H117" s="107"/>
      <c r="I117" s="107"/>
      <c r="J117" s="107">
        <v>61</v>
      </c>
      <c r="K117" s="29"/>
      <c r="L117" s="29"/>
      <c r="M117" s="29" t="s">
        <v>258</v>
      </c>
      <c r="N117" s="29" t="s">
        <v>32</v>
      </c>
      <c r="O117" s="29" t="s">
        <v>316</v>
      </c>
      <c r="P117" s="32">
        <v>14</v>
      </c>
      <c r="Q117" s="29"/>
      <c r="R117" s="40" t="s">
        <v>841</v>
      </c>
      <c r="S117" s="29"/>
      <c r="T117" s="29" t="s">
        <v>343</v>
      </c>
      <c r="U117" s="29"/>
      <c r="V117" s="50" t="s">
        <v>335</v>
      </c>
      <c r="W117" s="111" t="s">
        <v>446</v>
      </c>
      <c r="X117" s="59" t="s">
        <v>678</v>
      </c>
      <c r="Y117" s="74"/>
    </row>
    <row r="118" spans="1:25" ht="27.45" hidden="1" customHeight="1" x14ac:dyDescent="0.3">
      <c r="A118">
        <v>114</v>
      </c>
      <c r="B118">
        <v>126</v>
      </c>
      <c r="C118" s="29">
        <v>138</v>
      </c>
      <c r="D118" s="36"/>
      <c r="E118" s="36"/>
      <c r="F118" s="36"/>
      <c r="G118" s="36"/>
      <c r="H118" s="35"/>
      <c r="I118" s="35"/>
      <c r="J118" s="35"/>
      <c r="K118" s="29">
        <v>66</v>
      </c>
      <c r="L118" s="29"/>
      <c r="M118" s="42"/>
      <c r="N118" s="42"/>
      <c r="O118" s="29" t="s">
        <v>316</v>
      </c>
      <c r="P118" s="32">
        <v>8</v>
      </c>
      <c r="Q118" s="42"/>
      <c r="R118" s="40" t="s">
        <v>822</v>
      </c>
      <c r="S118" s="42"/>
      <c r="T118" s="42" t="s">
        <v>344</v>
      </c>
      <c r="U118" s="42"/>
      <c r="V118" s="50" t="s">
        <v>335</v>
      </c>
      <c r="W118" s="43"/>
      <c r="X118" s="59"/>
      <c r="Y118" s="74"/>
    </row>
    <row r="119" spans="1:25" ht="27.45" hidden="1" customHeight="1" x14ac:dyDescent="0.3">
      <c r="A119">
        <v>115</v>
      </c>
      <c r="B119">
        <v>127</v>
      </c>
      <c r="C119" s="29">
        <v>139</v>
      </c>
      <c r="D119" s="29"/>
      <c r="E119" s="29"/>
      <c r="F119" s="29"/>
      <c r="G119" s="29"/>
      <c r="H119" s="29"/>
      <c r="I119" s="29"/>
      <c r="J119" s="29">
        <v>67</v>
      </c>
      <c r="K119" s="29"/>
      <c r="L119" s="29"/>
      <c r="M119" s="42"/>
      <c r="N119" s="42"/>
      <c r="O119" s="29" t="s">
        <v>316</v>
      </c>
      <c r="P119" s="29">
        <v>7</v>
      </c>
      <c r="Q119" s="42"/>
      <c r="R119" s="40" t="s">
        <v>356</v>
      </c>
      <c r="S119" s="42" t="s">
        <v>382</v>
      </c>
      <c r="T119" s="42"/>
      <c r="U119" s="42" t="s">
        <v>437</v>
      </c>
      <c r="V119" s="29" t="s">
        <v>336</v>
      </c>
      <c r="W119" s="43" t="s">
        <v>724</v>
      </c>
      <c r="X119" s="59" t="s">
        <v>626</v>
      </c>
      <c r="Y119" s="86"/>
    </row>
    <row r="120" spans="1:25" ht="27.45" hidden="1" customHeight="1" x14ac:dyDescent="0.3">
      <c r="A120">
        <v>116</v>
      </c>
      <c r="B120">
        <v>128</v>
      </c>
      <c r="C120" s="29">
        <v>140</v>
      </c>
      <c r="D120" s="29"/>
      <c r="E120" s="29"/>
      <c r="F120" s="29"/>
      <c r="G120" s="29"/>
      <c r="H120" s="29"/>
      <c r="I120" s="29"/>
      <c r="J120" s="29"/>
      <c r="K120" s="29">
        <v>68</v>
      </c>
      <c r="L120" s="29"/>
      <c r="M120" s="42"/>
      <c r="N120" s="42"/>
      <c r="O120" s="29" t="s">
        <v>316</v>
      </c>
      <c r="P120" s="29">
        <v>5</v>
      </c>
      <c r="Q120" s="42"/>
      <c r="R120" s="40"/>
      <c r="S120" s="42"/>
      <c r="T120" s="42"/>
      <c r="U120" s="42"/>
      <c r="V120" s="29"/>
      <c r="W120" s="43" t="s">
        <v>442</v>
      </c>
      <c r="X120" s="59" t="s">
        <v>717</v>
      </c>
      <c r="Y120" s="74"/>
    </row>
    <row r="121" spans="1:25" hidden="1" x14ac:dyDescent="0.3">
      <c r="A121">
        <v>117</v>
      </c>
      <c r="B121">
        <v>129</v>
      </c>
      <c r="C121" s="29">
        <v>141</v>
      </c>
      <c r="D121" s="29"/>
      <c r="E121" s="29"/>
      <c r="F121" s="29"/>
      <c r="G121" s="29"/>
      <c r="H121" s="29"/>
      <c r="I121" s="29"/>
      <c r="J121" s="29">
        <v>69</v>
      </c>
      <c r="K121" s="29"/>
      <c r="L121" s="29"/>
      <c r="M121" s="42"/>
      <c r="N121" s="42"/>
      <c r="O121" s="29" t="s">
        <v>316</v>
      </c>
      <c r="P121" s="29">
        <v>4</v>
      </c>
      <c r="Q121" s="42"/>
      <c r="R121" s="40"/>
      <c r="S121" s="42"/>
      <c r="T121" s="42"/>
      <c r="U121" s="42"/>
      <c r="V121" s="29"/>
      <c r="W121" s="43" t="s">
        <v>441</v>
      </c>
      <c r="X121" s="59" t="s">
        <v>620</v>
      </c>
      <c r="Y121" s="74"/>
    </row>
    <row r="122" spans="1:25" ht="22.2" hidden="1" customHeight="1" x14ac:dyDescent="0.3">
      <c r="A122">
        <v>118</v>
      </c>
      <c r="B122">
        <v>132</v>
      </c>
      <c r="C122" s="29">
        <v>142</v>
      </c>
      <c r="D122" s="29"/>
      <c r="E122" s="29"/>
      <c r="F122" s="29"/>
      <c r="G122" s="29"/>
      <c r="H122" s="29"/>
      <c r="I122" s="29"/>
      <c r="J122" s="29"/>
      <c r="K122" s="29">
        <v>70</v>
      </c>
      <c r="L122" s="29"/>
      <c r="M122" s="42"/>
      <c r="N122" s="42"/>
      <c r="O122" s="29" t="s">
        <v>316</v>
      </c>
      <c r="P122" s="29">
        <v>6</v>
      </c>
      <c r="Q122" s="42"/>
      <c r="R122" s="40"/>
      <c r="S122" s="42" t="s">
        <v>381</v>
      </c>
      <c r="T122" s="42"/>
      <c r="U122" s="42" t="s">
        <v>391</v>
      </c>
      <c r="V122" s="29" t="s">
        <v>336</v>
      </c>
      <c r="W122" s="43" t="s">
        <v>721</v>
      </c>
      <c r="X122" s="59" t="s">
        <v>716</v>
      </c>
      <c r="Y122" s="74"/>
    </row>
    <row r="123" spans="1:25" ht="22.8" hidden="1" x14ac:dyDescent="0.3">
      <c r="A123">
        <v>119</v>
      </c>
      <c r="C123" s="29">
        <v>8</v>
      </c>
      <c r="D123" s="29"/>
      <c r="E123" s="29"/>
      <c r="F123" s="29">
        <v>23</v>
      </c>
      <c r="G123" s="29">
        <v>17</v>
      </c>
      <c r="H123" s="50"/>
      <c r="I123" s="50">
        <v>8</v>
      </c>
      <c r="J123" s="50"/>
      <c r="K123" s="50"/>
      <c r="L123" s="50"/>
      <c r="M123" s="48"/>
      <c r="N123" s="48"/>
      <c r="O123" s="29" t="s">
        <v>15</v>
      </c>
      <c r="P123" s="29" t="s">
        <v>15</v>
      </c>
      <c r="Q123" s="48"/>
      <c r="R123" s="51"/>
      <c r="S123" s="48"/>
      <c r="T123" s="48"/>
      <c r="U123" s="48"/>
      <c r="V123" s="50" t="s">
        <v>33</v>
      </c>
      <c r="W123" s="111" t="s">
        <v>15</v>
      </c>
      <c r="X123" s="59" t="s">
        <v>15</v>
      </c>
      <c r="Y123" s="74"/>
    </row>
    <row r="124" spans="1:25" ht="22.8" hidden="1" x14ac:dyDescent="0.3">
      <c r="A124">
        <v>120</v>
      </c>
      <c r="C124" s="29">
        <v>19</v>
      </c>
      <c r="D124" s="29"/>
      <c r="E124" s="29"/>
      <c r="F124" s="29"/>
      <c r="G124" s="29">
        <v>22</v>
      </c>
      <c r="H124" s="29">
        <v>19</v>
      </c>
      <c r="I124" s="29"/>
      <c r="J124" s="29"/>
      <c r="K124" s="29"/>
      <c r="L124" s="29"/>
      <c r="M124" s="42"/>
      <c r="N124" s="42"/>
      <c r="O124" s="29" t="s">
        <v>15</v>
      </c>
      <c r="P124" s="29" t="s">
        <v>15</v>
      </c>
      <c r="Q124" s="42"/>
      <c r="R124" s="40"/>
      <c r="S124" s="42"/>
      <c r="T124" s="42"/>
      <c r="U124" s="42"/>
      <c r="V124" s="50" t="s">
        <v>33</v>
      </c>
      <c r="W124" s="111"/>
      <c r="X124" s="59"/>
      <c r="Y124" s="86"/>
    </row>
    <row r="125" spans="1:25" ht="14.55" hidden="1" customHeight="1" x14ac:dyDescent="0.3">
      <c r="A125">
        <v>121</v>
      </c>
      <c r="C125" s="29">
        <v>20</v>
      </c>
      <c r="D125" s="29"/>
      <c r="E125" s="29">
        <v>11</v>
      </c>
      <c r="F125" s="29"/>
      <c r="G125" s="29"/>
      <c r="H125" s="50"/>
      <c r="I125" s="50">
        <v>20</v>
      </c>
      <c r="J125" s="50"/>
      <c r="K125" s="50"/>
      <c r="L125" s="50"/>
      <c r="M125" s="48"/>
      <c r="N125" s="48"/>
      <c r="O125" s="29" t="s">
        <v>15</v>
      </c>
      <c r="P125" s="29" t="s">
        <v>15</v>
      </c>
      <c r="Q125" s="48"/>
      <c r="R125" s="51"/>
      <c r="S125" s="48"/>
      <c r="T125" s="48"/>
      <c r="U125" s="48"/>
      <c r="V125" s="50" t="s">
        <v>33</v>
      </c>
      <c r="W125" s="111" t="s">
        <v>15</v>
      </c>
      <c r="X125" s="48" t="s">
        <v>15</v>
      </c>
      <c r="Y125" s="86"/>
    </row>
    <row r="126" spans="1:25" ht="26.55" hidden="1" customHeight="1" x14ac:dyDescent="0.3">
      <c r="A126">
        <v>122</v>
      </c>
      <c r="C126" s="29">
        <v>22</v>
      </c>
      <c r="D126" s="29"/>
      <c r="E126" s="29">
        <v>13</v>
      </c>
      <c r="F126" s="29"/>
      <c r="G126" s="29"/>
      <c r="H126" s="50"/>
      <c r="I126" s="50">
        <v>22</v>
      </c>
      <c r="J126" s="50"/>
      <c r="K126" s="50"/>
      <c r="L126" s="50"/>
      <c r="M126" s="48"/>
      <c r="N126" s="48"/>
      <c r="O126" s="29" t="s">
        <v>15</v>
      </c>
      <c r="P126" s="29" t="s">
        <v>15</v>
      </c>
      <c r="Q126" s="48"/>
      <c r="R126" s="51"/>
      <c r="S126" s="48"/>
      <c r="T126" s="48"/>
      <c r="U126" s="48"/>
      <c r="V126" s="50" t="s">
        <v>33</v>
      </c>
      <c r="W126" s="111" t="s">
        <v>15</v>
      </c>
      <c r="X126" s="48" t="s">
        <v>15</v>
      </c>
      <c r="Y126" s="86"/>
    </row>
    <row r="127" spans="1:25" ht="25.8" hidden="1" customHeight="1" x14ac:dyDescent="0.3">
      <c r="A127">
        <v>123</v>
      </c>
      <c r="C127" s="29">
        <v>49</v>
      </c>
      <c r="D127" s="32"/>
      <c r="E127" s="32"/>
      <c r="F127" s="32"/>
      <c r="G127" s="32"/>
      <c r="H127" s="50">
        <v>49</v>
      </c>
      <c r="I127" s="50"/>
      <c r="J127" s="50"/>
      <c r="K127" s="50"/>
      <c r="L127" s="50"/>
      <c r="M127" s="48"/>
      <c r="N127" s="48"/>
      <c r="O127" s="29" t="s">
        <v>15</v>
      </c>
      <c r="P127" s="32" t="s">
        <v>15</v>
      </c>
      <c r="Q127" s="48"/>
      <c r="R127" s="51"/>
      <c r="S127" s="48"/>
      <c r="T127" s="48"/>
      <c r="U127" s="48"/>
      <c r="V127" s="50" t="s">
        <v>33</v>
      </c>
      <c r="W127" s="115" t="s">
        <v>33</v>
      </c>
      <c r="X127" s="76" t="s">
        <v>33</v>
      </c>
      <c r="Y127" s="74"/>
    </row>
    <row r="128" spans="1:25" ht="14.55" hidden="1" customHeight="1" x14ac:dyDescent="0.3">
      <c r="A128">
        <v>124</v>
      </c>
      <c r="C128" s="29">
        <v>60</v>
      </c>
      <c r="D128" s="32"/>
      <c r="E128" s="32"/>
      <c r="F128" s="32"/>
      <c r="G128" s="32"/>
      <c r="H128" s="50"/>
      <c r="I128" s="50">
        <v>60</v>
      </c>
      <c r="J128" s="50"/>
      <c r="K128" s="50"/>
      <c r="L128" s="50"/>
      <c r="M128" s="48"/>
      <c r="N128" s="48"/>
      <c r="O128" s="29" t="s">
        <v>15</v>
      </c>
      <c r="P128" s="32" t="s">
        <v>15</v>
      </c>
      <c r="Q128" s="48"/>
      <c r="R128" s="51"/>
      <c r="S128" s="48"/>
      <c r="T128" s="48"/>
      <c r="U128" s="48"/>
      <c r="V128" s="50" t="s">
        <v>33</v>
      </c>
      <c r="W128" s="111"/>
      <c r="X128" s="59"/>
      <c r="Y128" s="86"/>
    </row>
    <row r="129" spans="1:25" ht="14.55" hidden="1" customHeight="1" x14ac:dyDescent="0.3">
      <c r="A129">
        <v>125</v>
      </c>
      <c r="C129" s="29">
        <v>81</v>
      </c>
      <c r="D129" s="32"/>
      <c r="E129" s="32">
        <v>12</v>
      </c>
      <c r="F129" s="32"/>
      <c r="G129" s="32"/>
      <c r="H129" s="50"/>
      <c r="I129" s="50"/>
      <c r="J129" s="50">
        <v>9</v>
      </c>
      <c r="K129" s="50"/>
      <c r="L129" s="50"/>
      <c r="M129" s="48"/>
      <c r="N129" s="48"/>
      <c r="O129" s="29" t="s">
        <v>15</v>
      </c>
      <c r="P129" s="32" t="s">
        <v>15</v>
      </c>
      <c r="Q129" s="48"/>
      <c r="R129" s="51"/>
      <c r="S129" s="48"/>
      <c r="T129" s="48"/>
      <c r="U129" s="48"/>
      <c r="V129" s="50" t="s">
        <v>33</v>
      </c>
      <c r="W129" s="111" t="s">
        <v>15</v>
      </c>
      <c r="X129" s="59" t="s">
        <v>15</v>
      </c>
      <c r="Y129" s="86"/>
    </row>
    <row r="130" spans="1:25" ht="25.8" hidden="1" customHeight="1" x14ac:dyDescent="0.3">
      <c r="A130">
        <v>126</v>
      </c>
      <c r="C130" s="29">
        <v>92</v>
      </c>
      <c r="D130" s="70">
        <v>8</v>
      </c>
      <c r="E130" s="70"/>
      <c r="F130" s="70"/>
      <c r="G130" s="70">
        <v>28</v>
      </c>
      <c r="H130" s="54"/>
      <c r="I130" s="54"/>
      <c r="J130" s="54"/>
      <c r="K130" s="50">
        <v>20</v>
      </c>
      <c r="L130" s="50"/>
      <c r="M130" s="48"/>
      <c r="N130" s="48"/>
      <c r="O130" s="29" t="s">
        <v>15</v>
      </c>
      <c r="P130" s="32" t="s">
        <v>15</v>
      </c>
      <c r="Q130" s="48"/>
      <c r="R130" s="51"/>
      <c r="S130" s="48"/>
      <c r="T130" s="48"/>
      <c r="U130" s="48"/>
      <c r="V130" s="50" t="s">
        <v>33</v>
      </c>
      <c r="W130" s="111" t="s">
        <v>15</v>
      </c>
      <c r="X130" s="59" t="s">
        <v>15</v>
      </c>
      <c r="Y130" s="86"/>
    </row>
    <row r="131" spans="1:25" ht="14.55" hidden="1" customHeight="1" x14ac:dyDescent="0.3">
      <c r="A131">
        <v>127</v>
      </c>
      <c r="C131" s="29">
        <v>111</v>
      </c>
      <c r="D131" s="32"/>
      <c r="E131" s="32">
        <v>23</v>
      </c>
      <c r="F131" s="32"/>
      <c r="G131" s="32">
        <v>5</v>
      </c>
      <c r="H131" s="50"/>
      <c r="I131" s="50"/>
      <c r="J131" s="50">
        <v>39</v>
      </c>
      <c r="K131" s="50"/>
      <c r="L131" s="50"/>
      <c r="M131" s="48"/>
      <c r="N131" s="48"/>
      <c r="O131" s="29" t="s">
        <v>15</v>
      </c>
      <c r="P131" s="32" t="s">
        <v>15</v>
      </c>
      <c r="Q131" s="48"/>
      <c r="R131" s="51"/>
      <c r="S131" s="48"/>
      <c r="T131" s="48"/>
      <c r="U131" s="48"/>
      <c r="V131" s="50" t="s">
        <v>33</v>
      </c>
      <c r="W131" s="111"/>
      <c r="X131" s="59"/>
      <c r="Y131" s="86"/>
    </row>
    <row r="132" spans="1:25" ht="22.8" hidden="1" x14ac:dyDescent="0.3">
      <c r="A132">
        <v>128</v>
      </c>
      <c r="C132" s="29">
        <v>126</v>
      </c>
      <c r="D132" s="32"/>
      <c r="E132" s="32"/>
      <c r="F132" s="32"/>
      <c r="G132" s="32"/>
      <c r="H132" s="50"/>
      <c r="I132" s="50"/>
      <c r="J132" s="50"/>
      <c r="K132" s="50">
        <v>54</v>
      </c>
      <c r="L132" s="50"/>
      <c r="M132" s="48"/>
      <c r="N132" s="48"/>
      <c r="O132" s="29" t="s">
        <v>15</v>
      </c>
      <c r="P132" s="32" t="s">
        <v>15</v>
      </c>
      <c r="Q132" s="48"/>
      <c r="R132" s="51"/>
      <c r="S132" s="48"/>
      <c r="T132" s="48"/>
      <c r="U132" s="48"/>
      <c r="V132" s="50" t="s">
        <v>33</v>
      </c>
      <c r="W132" s="111"/>
      <c r="X132" s="59"/>
      <c r="Y132" s="74"/>
    </row>
    <row r="133" spans="1:25" ht="14.55" hidden="1" customHeight="1" x14ac:dyDescent="0.3">
      <c r="A133">
        <v>129</v>
      </c>
      <c r="C133" s="29">
        <v>135</v>
      </c>
      <c r="D133" s="32"/>
      <c r="E133" s="32"/>
      <c r="F133" s="32"/>
      <c r="G133" s="32">
        <v>27</v>
      </c>
      <c r="H133" s="50"/>
      <c r="I133" s="50"/>
      <c r="J133" s="50">
        <v>63</v>
      </c>
      <c r="K133" s="50"/>
      <c r="L133" s="50"/>
      <c r="M133" s="48"/>
      <c r="N133" s="48"/>
      <c r="O133" s="29" t="s">
        <v>15</v>
      </c>
      <c r="P133" s="32" t="s">
        <v>15</v>
      </c>
      <c r="Q133" s="48"/>
      <c r="R133" s="51"/>
      <c r="S133" s="48"/>
      <c r="T133" s="48"/>
      <c r="U133" s="48"/>
      <c r="V133" s="50" t="s">
        <v>33</v>
      </c>
      <c r="W133" s="111"/>
      <c r="X133" s="59"/>
      <c r="Y133" s="74"/>
    </row>
    <row r="134" spans="1:25" ht="14.55" hidden="1" customHeight="1" x14ac:dyDescent="0.3">
      <c r="A134">
        <v>130</v>
      </c>
      <c r="B134">
        <v>23</v>
      </c>
      <c r="C134" s="29">
        <v>29</v>
      </c>
      <c r="D134" s="55"/>
      <c r="E134" s="55"/>
      <c r="F134" s="55"/>
      <c r="G134" s="55"/>
      <c r="H134" s="50">
        <v>29</v>
      </c>
      <c r="I134" s="50"/>
      <c r="J134" s="50"/>
      <c r="K134" s="50"/>
      <c r="L134" s="50"/>
      <c r="M134" s="48"/>
      <c r="N134" s="48"/>
      <c r="O134" s="29" t="s">
        <v>317</v>
      </c>
      <c r="P134" s="55">
        <v>0</v>
      </c>
      <c r="Q134" s="48"/>
      <c r="R134" s="51"/>
      <c r="S134" s="48"/>
      <c r="T134" s="48"/>
      <c r="U134" s="40" t="s">
        <v>388</v>
      </c>
      <c r="V134" s="29" t="s">
        <v>336</v>
      </c>
      <c r="W134" s="116" t="s">
        <v>483</v>
      </c>
      <c r="X134" s="59" t="s">
        <v>535</v>
      </c>
      <c r="Y134" s="86"/>
    </row>
    <row r="135" spans="1:25" ht="25.8" hidden="1" customHeight="1" x14ac:dyDescent="0.3">
      <c r="A135">
        <v>131</v>
      </c>
      <c r="B135">
        <v>24</v>
      </c>
      <c r="C135" s="29">
        <v>31</v>
      </c>
      <c r="D135" s="29"/>
      <c r="E135" s="29"/>
      <c r="F135" s="29"/>
      <c r="G135" s="29"/>
      <c r="H135" s="29">
        <v>31</v>
      </c>
      <c r="I135" s="29"/>
      <c r="J135" s="29"/>
      <c r="K135" s="29"/>
      <c r="L135" s="50"/>
      <c r="M135" s="48"/>
      <c r="N135" s="48"/>
      <c r="O135" s="29" t="s">
        <v>317</v>
      </c>
      <c r="P135" s="29">
        <v>1</v>
      </c>
      <c r="Q135" s="48"/>
      <c r="R135" s="51"/>
      <c r="S135" s="48"/>
      <c r="T135" s="48"/>
      <c r="U135" s="40"/>
      <c r="V135" s="29" t="s">
        <v>336</v>
      </c>
      <c r="W135" s="116" t="s">
        <v>483</v>
      </c>
      <c r="X135" s="59" t="s">
        <v>535</v>
      </c>
      <c r="Y135" s="86"/>
    </row>
    <row r="136" spans="1:25" ht="16.8" hidden="1" customHeight="1" x14ac:dyDescent="0.3">
      <c r="A136">
        <v>132</v>
      </c>
      <c r="C136" s="29">
        <v>12</v>
      </c>
      <c r="D136" s="29"/>
      <c r="E136" s="29">
        <v>3</v>
      </c>
      <c r="F136" s="29"/>
      <c r="G136" s="29"/>
      <c r="H136" s="50"/>
      <c r="I136" s="50">
        <v>12</v>
      </c>
      <c r="J136" s="50"/>
      <c r="K136" s="50"/>
      <c r="L136" s="50"/>
      <c r="M136" s="48"/>
      <c r="N136" s="48"/>
      <c r="O136" s="29" t="s">
        <v>11</v>
      </c>
      <c r="P136" s="29" t="s">
        <v>11</v>
      </c>
      <c r="Q136" s="48"/>
      <c r="R136" s="51"/>
      <c r="S136" s="48"/>
      <c r="T136" s="48"/>
      <c r="U136" s="48"/>
      <c r="V136" s="50" t="s">
        <v>33</v>
      </c>
      <c r="W136" s="111" t="s">
        <v>11</v>
      </c>
      <c r="X136" s="59" t="s">
        <v>11</v>
      </c>
      <c r="Y136" s="86"/>
    </row>
    <row r="137" spans="1:25" ht="14.55" hidden="1" customHeight="1" x14ac:dyDescent="0.3">
      <c r="A137">
        <v>133</v>
      </c>
      <c r="C137" s="61"/>
      <c r="D137" s="78"/>
      <c r="E137" s="78">
        <v>1</v>
      </c>
      <c r="F137" s="78">
        <v>13</v>
      </c>
      <c r="G137" s="78"/>
      <c r="H137" s="64"/>
      <c r="I137" s="64"/>
      <c r="J137" s="64"/>
      <c r="K137" s="64"/>
      <c r="L137" s="64"/>
      <c r="M137" s="65" t="s">
        <v>493</v>
      </c>
      <c r="N137" s="65"/>
      <c r="O137" s="61" t="s">
        <v>714</v>
      </c>
      <c r="P137" s="62"/>
      <c r="Q137" s="66"/>
      <c r="R137" s="67"/>
      <c r="S137" s="66"/>
      <c r="T137" s="66"/>
      <c r="U137" s="65"/>
      <c r="V137" s="64"/>
      <c r="W137" s="117"/>
      <c r="X137" s="68"/>
      <c r="Y137" s="74"/>
    </row>
    <row r="138" spans="1:25" ht="22.8" hidden="1" x14ac:dyDescent="0.3">
      <c r="A138">
        <v>134</v>
      </c>
      <c r="C138" s="61"/>
      <c r="D138" s="78"/>
      <c r="E138" s="78"/>
      <c r="F138" s="78">
        <v>15</v>
      </c>
      <c r="G138" s="78"/>
      <c r="H138" s="64"/>
      <c r="I138" s="64"/>
      <c r="J138" s="64"/>
      <c r="K138" s="64"/>
      <c r="L138" s="64"/>
      <c r="M138" s="65" t="s">
        <v>493</v>
      </c>
      <c r="N138" s="65"/>
      <c r="O138" s="61" t="s">
        <v>714</v>
      </c>
      <c r="P138" s="62"/>
      <c r="Q138" s="66"/>
      <c r="R138" s="67"/>
      <c r="S138" s="66"/>
      <c r="T138" s="66"/>
      <c r="U138" s="65"/>
      <c r="V138" s="64"/>
      <c r="W138" s="117"/>
      <c r="X138" s="68"/>
      <c r="Y138" s="74"/>
    </row>
    <row r="139" spans="1:25" ht="14.55" hidden="1" customHeight="1" x14ac:dyDescent="0.3">
      <c r="A139">
        <v>135</v>
      </c>
      <c r="C139" s="29">
        <v>14</v>
      </c>
      <c r="D139" s="32"/>
      <c r="E139" s="32">
        <v>5</v>
      </c>
      <c r="F139" s="32"/>
      <c r="G139" s="32"/>
      <c r="H139" s="50"/>
      <c r="I139" s="50">
        <v>14</v>
      </c>
      <c r="J139" s="50"/>
      <c r="K139" s="50"/>
      <c r="L139" s="50"/>
      <c r="M139" s="48"/>
      <c r="N139" s="48"/>
      <c r="O139" s="29" t="s">
        <v>12</v>
      </c>
      <c r="P139" s="32" t="s">
        <v>12</v>
      </c>
      <c r="Q139" s="48"/>
      <c r="R139" s="51"/>
      <c r="S139" s="48"/>
      <c r="T139" s="48"/>
      <c r="U139" s="48" t="s">
        <v>368</v>
      </c>
      <c r="V139" s="50" t="s">
        <v>335</v>
      </c>
      <c r="W139" s="111" t="s">
        <v>12</v>
      </c>
      <c r="X139" s="48" t="s">
        <v>12</v>
      </c>
      <c r="Y139" s="74"/>
    </row>
    <row r="140" spans="1:25" ht="14.55" hidden="1" customHeight="1" x14ac:dyDescent="0.3">
      <c r="A140">
        <v>136</v>
      </c>
      <c r="C140" s="29">
        <v>80</v>
      </c>
      <c r="D140" s="32"/>
      <c r="E140" s="32"/>
      <c r="F140" s="32"/>
      <c r="G140" s="32"/>
      <c r="H140" s="50"/>
      <c r="I140" s="50"/>
      <c r="J140" s="50"/>
      <c r="K140" s="50">
        <v>8</v>
      </c>
      <c r="L140" s="50"/>
      <c r="M140" s="48"/>
      <c r="N140" s="48"/>
      <c r="O140" s="29" t="s">
        <v>487</v>
      </c>
      <c r="P140" s="32" t="s">
        <v>487</v>
      </c>
      <c r="Q140" s="48"/>
      <c r="R140" s="51"/>
      <c r="S140" s="48"/>
      <c r="T140" s="48"/>
      <c r="U140" s="48"/>
      <c r="V140" s="50" t="s">
        <v>33</v>
      </c>
      <c r="W140" s="111"/>
      <c r="X140" s="59"/>
      <c r="Y140" s="74"/>
    </row>
    <row r="141" spans="1:25" ht="14.55" hidden="1" customHeight="1" x14ac:dyDescent="0.3">
      <c r="A141">
        <v>137</v>
      </c>
      <c r="C141" s="29">
        <v>33</v>
      </c>
      <c r="D141" s="32"/>
      <c r="E141" s="32"/>
      <c r="F141" s="32"/>
      <c r="G141" s="32"/>
      <c r="H141" s="50">
        <v>33</v>
      </c>
      <c r="I141" s="50"/>
      <c r="J141" s="50"/>
      <c r="K141" s="50"/>
      <c r="L141" s="50"/>
      <c r="M141" s="48"/>
      <c r="N141" s="48"/>
      <c r="O141" s="29" t="s">
        <v>309</v>
      </c>
      <c r="P141" s="32" t="s">
        <v>309</v>
      </c>
      <c r="Q141" s="48"/>
      <c r="R141" s="51"/>
      <c r="S141" s="48"/>
      <c r="T141" s="48"/>
      <c r="U141" s="48"/>
      <c r="V141" s="50" t="s">
        <v>33</v>
      </c>
      <c r="W141" s="111"/>
      <c r="X141" s="59"/>
      <c r="Y141" s="86"/>
    </row>
    <row r="142" spans="1:25" ht="14.55" hidden="1" customHeight="1" x14ac:dyDescent="0.3">
      <c r="A142">
        <v>138</v>
      </c>
      <c r="C142" s="29">
        <v>5</v>
      </c>
      <c r="D142" s="72"/>
      <c r="E142" s="72"/>
      <c r="F142" s="72"/>
      <c r="G142" s="72"/>
      <c r="H142" s="82">
        <v>5</v>
      </c>
      <c r="I142" s="82"/>
      <c r="J142" s="82"/>
      <c r="K142" s="50"/>
      <c r="L142" s="50"/>
      <c r="M142" s="48"/>
      <c r="N142" s="48"/>
      <c r="O142" s="29" t="s">
        <v>307</v>
      </c>
      <c r="P142" s="32" t="s">
        <v>307</v>
      </c>
      <c r="Q142" s="48"/>
      <c r="R142" s="51"/>
      <c r="S142" s="48"/>
      <c r="T142" s="48"/>
      <c r="U142" s="48" t="s">
        <v>394</v>
      </c>
      <c r="V142" s="50" t="s">
        <v>33</v>
      </c>
      <c r="W142" s="111"/>
      <c r="X142" s="59"/>
      <c r="Y142" s="74"/>
    </row>
    <row r="143" spans="1:25" ht="14.55" hidden="1" customHeight="1" x14ac:dyDescent="0.3">
      <c r="A143">
        <v>139</v>
      </c>
      <c r="C143" s="29">
        <v>24</v>
      </c>
      <c r="D143" s="36"/>
      <c r="E143" s="36">
        <v>15</v>
      </c>
      <c r="F143" s="36"/>
      <c r="G143" s="36"/>
      <c r="H143" s="81"/>
      <c r="I143" s="81">
        <v>24</v>
      </c>
      <c r="J143" s="81"/>
      <c r="K143" s="50"/>
      <c r="L143" s="50"/>
      <c r="M143" s="48"/>
      <c r="N143" s="53" t="s">
        <v>392</v>
      </c>
      <c r="O143" s="29" t="s">
        <v>16</v>
      </c>
      <c r="P143" s="32" t="s">
        <v>16</v>
      </c>
      <c r="Q143" s="53"/>
      <c r="R143" s="51"/>
      <c r="S143" s="48"/>
      <c r="T143" s="48"/>
      <c r="U143" s="48"/>
      <c r="V143" s="50" t="s">
        <v>33</v>
      </c>
      <c r="W143" s="111" t="s">
        <v>16</v>
      </c>
      <c r="X143" s="59" t="s">
        <v>16</v>
      </c>
      <c r="Y143" s="86"/>
    </row>
    <row r="144" spans="1:25" ht="30" hidden="1" customHeight="1" x14ac:dyDescent="0.3">
      <c r="A144">
        <v>140</v>
      </c>
      <c r="C144" s="61"/>
      <c r="D144" s="69"/>
      <c r="E144" s="69"/>
      <c r="F144" s="69"/>
      <c r="G144" s="69"/>
      <c r="H144" s="63"/>
      <c r="I144" s="63"/>
      <c r="J144" s="63"/>
      <c r="K144" s="63"/>
      <c r="L144" s="63"/>
      <c r="M144" s="83"/>
      <c r="N144" s="83"/>
      <c r="O144" s="77"/>
      <c r="P144" s="69"/>
      <c r="Q144" s="84"/>
      <c r="R144" s="85"/>
      <c r="S144" s="84"/>
      <c r="T144" s="84"/>
      <c r="U144" s="83"/>
      <c r="V144" s="63"/>
      <c r="W144" s="118"/>
      <c r="X144" s="68"/>
      <c r="Y144" s="74"/>
    </row>
    <row r="147" spans="3:18" x14ac:dyDescent="0.3">
      <c r="C147" s="45"/>
      <c r="F147" s="45"/>
      <c r="G147" s="45"/>
      <c r="M147"/>
      <c r="N147"/>
      <c r="O147"/>
      <c r="P147"/>
      <c r="Q147" s="45"/>
      <c r="R147" s="45"/>
    </row>
    <row r="148" spans="3:18" x14ac:dyDescent="0.3">
      <c r="C148" s="45"/>
      <c r="F148" s="73"/>
      <c r="G148" s="45"/>
      <c r="I148"/>
      <c r="M148"/>
      <c r="N148"/>
      <c r="O148"/>
      <c r="P148"/>
      <c r="Q148" s="45"/>
      <c r="R148" s="73"/>
    </row>
    <row r="149" spans="3:18" x14ac:dyDescent="0.3">
      <c r="C149" s="45"/>
      <c r="F149" s="73"/>
      <c r="G149" s="45"/>
      <c r="I149"/>
      <c r="M149"/>
      <c r="N149"/>
      <c r="O149"/>
      <c r="P149"/>
      <c r="Q149" s="45"/>
      <c r="R149" s="73"/>
    </row>
    <row r="150" spans="3:18" x14ac:dyDescent="0.3">
      <c r="C150" s="45"/>
      <c r="F150" s="73"/>
      <c r="G150" s="45"/>
      <c r="I150"/>
      <c r="M150"/>
      <c r="N150"/>
      <c r="O150"/>
      <c r="P150"/>
      <c r="Q150" s="45"/>
      <c r="R150" s="73"/>
    </row>
    <row r="151" spans="3:18" x14ac:dyDescent="0.3">
      <c r="C151" s="45"/>
      <c r="F151" s="73"/>
      <c r="G151" s="45"/>
      <c r="I151"/>
      <c r="M151"/>
      <c r="N151"/>
      <c r="O151"/>
      <c r="P151"/>
      <c r="Q151" s="45"/>
      <c r="R151" s="73"/>
    </row>
    <row r="152" spans="3:18" x14ac:dyDescent="0.3">
      <c r="C152" s="45"/>
      <c r="F152" s="73"/>
      <c r="G152" s="45"/>
      <c r="I152"/>
      <c r="M152"/>
      <c r="N152"/>
      <c r="O152"/>
      <c r="P152"/>
      <c r="Q152" s="45"/>
      <c r="R152" s="73"/>
    </row>
    <row r="153" spans="3:18" x14ac:dyDescent="0.3">
      <c r="C153" s="45"/>
      <c r="F153" s="73"/>
      <c r="G153" s="45"/>
      <c r="I153"/>
      <c r="M153"/>
      <c r="N153"/>
      <c r="O153"/>
      <c r="P153"/>
      <c r="Q153" s="45"/>
      <c r="R153" s="73"/>
    </row>
    <row r="154" spans="3:18" x14ac:dyDescent="0.3">
      <c r="C154" s="45"/>
      <c r="F154" s="73"/>
      <c r="G154" s="45"/>
      <c r="I154"/>
      <c r="M154"/>
      <c r="N154"/>
      <c r="O154"/>
      <c r="P154"/>
      <c r="Q154" s="45"/>
      <c r="R154" s="73"/>
    </row>
    <row r="155" spans="3:18" x14ac:dyDescent="0.3">
      <c r="C155" s="45"/>
      <c r="F155" s="73"/>
      <c r="G155" s="45"/>
      <c r="I155"/>
      <c r="M155"/>
      <c r="N155"/>
      <c r="O155"/>
      <c r="P155"/>
      <c r="Q155" s="45"/>
      <c r="R155" s="73"/>
    </row>
    <row r="156" spans="3:18" x14ac:dyDescent="0.3">
      <c r="C156" s="45"/>
      <c r="F156" s="73"/>
      <c r="G156" s="45"/>
      <c r="I156"/>
      <c r="M156"/>
      <c r="N156"/>
      <c r="O156"/>
      <c r="P156"/>
      <c r="Q156" s="45"/>
      <c r="R156" s="73"/>
    </row>
    <row r="157" spans="3:18" x14ac:dyDescent="0.3">
      <c r="C157" s="45"/>
      <c r="F157" s="73"/>
      <c r="G157" s="45"/>
      <c r="I157"/>
      <c r="M157"/>
      <c r="N157"/>
      <c r="O157"/>
      <c r="P157"/>
      <c r="Q157" s="45"/>
      <c r="R157" s="73"/>
    </row>
    <row r="158" spans="3:18" x14ac:dyDescent="0.3">
      <c r="C158" s="45"/>
      <c r="F158" s="73"/>
      <c r="G158" s="45"/>
      <c r="I158"/>
      <c r="M158"/>
      <c r="N158"/>
      <c r="O158"/>
      <c r="P158"/>
      <c r="Q158" s="45"/>
      <c r="R158" s="73"/>
    </row>
    <row r="159" spans="3:18" x14ac:dyDescent="0.3">
      <c r="C159" s="45"/>
      <c r="F159" s="73"/>
      <c r="G159" s="45"/>
      <c r="I159"/>
      <c r="M159"/>
      <c r="N159"/>
      <c r="O159"/>
      <c r="P159"/>
      <c r="Q159" s="45"/>
      <c r="R159" s="73"/>
    </row>
    <row r="160" spans="3:18" x14ac:dyDescent="0.3">
      <c r="C160" s="45"/>
      <c r="F160" s="73"/>
      <c r="G160" s="45"/>
      <c r="I160"/>
      <c r="M160"/>
      <c r="N160"/>
      <c r="O160"/>
      <c r="P160"/>
      <c r="Q160" s="45"/>
      <c r="R160" s="73"/>
    </row>
    <row r="161" spans="3:18" x14ac:dyDescent="0.3">
      <c r="C161" s="45"/>
      <c r="F161" s="73"/>
      <c r="G161" s="45"/>
      <c r="I161"/>
      <c r="M161"/>
      <c r="N161"/>
      <c r="O161"/>
      <c r="P161"/>
      <c r="Q161" s="45"/>
      <c r="R161" s="73"/>
    </row>
    <row r="162" spans="3:18" x14ac:dyDescent="0.3">
      <c r="C162" s="45"/>
      <c r="F162" s="73"/>
      <c r="G162" s="45"/>
      <c r="I162"/>
      <c r="M162"/>
      <c r="N162"/>
      <c r="O162"/>
      <c r="P162"/>
      <c r="Q162" s="45"/>
      <c r="R162" s="73"/>
    </row>
    <row r="163" spans="3:18" x14ac:dyDescent="0.3">
      <c r="C163" s="45"/>
      <c r="F163" s="73"/>
      <c r="G163" s="45"/>
      <c r="I163"/>
      <c r="M163"/>
      <c r="N163"/>
      <c r="O163"/>
      <c r="P163"/>
      <c r="Q163" s="45"/>
      <c r="R163" s="73"/>
    </row>
    <row r="164" spans="3:18" x14ac:dyDescent="0.3">
      <c r="C164" s="45"/>
      <c r="F164" s="73"/>
      <c r="G164" s="45"/>
      <c r="I164"/>
      <c r="M164"/>
      <c r="N164"/>
      <c r="O164"/>
      <c r="P164"/>
      <c r="Q164" s="45"/>
      <c r="R164" s="73"/>
    </row>
    <row r="165" spans="3:18" x14ac:dyDescent="0.3">
      <c r="C165" s="45"/>
      <c r="F165" s="73"/>
      <c r="G165" s="45"/>
      <c r="I165"/>
      <c r="M165"/>
      <c r="N165"/>
      <c r="O165"/>
      <c r="P165"/>
      <c r="Q165" s="45"/>
      <c r="R165" s="73"/>
    </row>
    <row r="166" spans="3:18" x14ac:dyDescent="0.3">
      <c r="C166" s="45"/>
      <c r="F166" s="73"/>
      <c r="G166" s="45"/>
      <c r="I166"/>
      <c r="M166"/>
      <c r="N166"/>
      <c r="O166"/>
      <c r="P166"/>
      <c r="Q166" s="45"/>
      <c r="R166" s="73"/>
    </row>
    <row r="167" spans="3:18" x14ac:dyDescent="0.3">
      <c r="C167" s="45"/>
      <c r="F167" s="73"/>
      <c r="G167" s="45"/>
      <c r="I167"/>
      <c r="M167"/>
      <c r="N167"/>
      <c r="O167"/>
      <c r="P167"/>
      <c r="Q167" s="45"/>
      <c r="R167" s="73"/>
    </row>
    <row r="168" spans="3:18" x14ac:dyDescent="0.3">
      <c r="C168" s="45"/>
      <c r="F168" s="73"/>
      <c r="G168" s="45"/>
      <c r="I168"/>
      <c r="M168"/>
      <c r="N168"/>
      <c r="O168"/>
      <c r="P168"/>
      <c r="Q168" s="45"/>
      <c r="R168" s="73"/>
    </row>
    <row r="169" spans="3:18" x14ac:dyDescent="0.3">
      <c r="C169" s="45"/>
      <c r="F169" s="73"/>
      <c r="G169" s="45"/>
      <c r="I169"/>
      <c r="M169"/>
      <c r="N169"/>
      <c r="O169"/>
      <c r="P169"/>
      <c r="Q169" s="45"/>
      <c r="R169" s="73"/>
    </row>
    <row r="170" spans="3:18" x14ac:dyDescent="0.3">
      <c r="C170" s="45"/>
      <c r="F170" s="73"/>
      <c r="G170" s="45"/>
      <c r="I170"/>
      <c r="M170"/>
      <c r="N170"/>
      <c r="O170"/>
      <c r="P170"/>
      <c r="Q170" s="45"/>
      <c r="R170" s="73"/>
    </row>
    <row r="171" spans="3:18" x14ac:dyDescent="0.3">
      <c r="C171" s="45"/>
      <c r="F171" s="73"/>
      <c r="G171" s="45"/>
      <c r="I171"/>
      <c r="M171"/>
      <c r="N171"/>
      <c r="O171"/>
      <c r="P171"/>
      <c r="Q171" s="45"/>
      <c r="R171" s="73"/>
    </row>
    <row r="172" spans="3:18" x14ac:dyDescent="0.3">
      <c r="C172" s="45"/>
      <c r="F172" s="73"/>
      <c r="G172" s="45"/>
      <c r="I172"/>
      <c r="M172"/>
      <c r="N172"/>
      <c r="O172"/>
      <c r="P172"/>
      <c r="Q172" s="45"/>
      <c r="R172" s="73"/>
    </row>
    <row r="173" spans="3:18" x14ac:dyDescent="0.3">
      <c r="C173" s="45"/>
      <c r="F173" s="73"/>
      <c r="G173" s="45"/>
      <c r="I173"/>
      <c r="M173"/>
      <c r="N173"/>
      <c r="O173"/>
      <c r="P173"/>
      <c r="Q173" s="45"/>
      <c r="R173" s="73"/>
    </row>
    <row r="174" spans="3:18" x14ac:dyDescent="0.3">
      <c r="C174" s="45"/>
      <c r="F174" s="73"/>
      <c r="G174" s="45"/>
      <c r="I174"/>
      <c r="M174"/>
      <c r="N174"/>
      <c r="O174"/>
      <c r="P174"/>
      <c r="Q174" s="45"/>
      <c r="R174" s="73"/>
    </row>
    <row r="175" spans="3:18" x14ac:dyDescent="0.3">
      <c r="C175" s="45"/>
      <c r="F175" s="73"/>
      <c r="G175" s="45"/>
      <c r="I175"/>
      <c r="M175"/>
      <c r="N175"/>
      <c r="O175"/>
      <c r="P175"/>
      <c r="Q175" s="45"/>
      <c r="R175" s="73"/>
    </row>
    <row r="176" spans="3:18" x14ac:dyDescent="0.3">
      <c r="C176" s="45"/>
      <c r="F176" s="73"/>
      <c r="G176" s="45"/>
      <c r="I176"/>
      <c r="M176"/>
      <c r="N176"/>
      <c r="O176"/>
      <c r="P176"/>
      <c r="Q176" s="45"/>
      <c r="R176" s="73"/>
    </row>
    <row r="177" spans="3:18" x14ac:dyDescent="0.3">
      <c r="C177" s="45"/>
      <c r="F177" s="73"/>
      <c r="G177" s="45"/>
      <c r="I177"/>
      <c r="M177"/>
      <c r="N177"/>
      <c r="O177"/>
      <c r="P177"/>
      <c r="Q177" s="45"/>
      <c r="R177" s="73"/>
    </row>
    <row r="178" spans="3:18" x14ac:dyDescent="0.3">
      <c r="C178" s="45"/>
      <c r="F178" s="73"/>
      <c r="G178" s="45"/>
      <c r="I178"/>
      <c r="M178"/>
      <c r="N178"/>
      <c r="O178"/>
      <c r="P178"/>
      <c r="Q178" s="45"/>
      <c r="R178" s="73"/>
    </row>
    <row r="179" spans="3:18" x14ac:dyDescent="0.3">
      <c r="C179" s="45"/>
      <c r="F179" s="73"/>
      <c r="G179" s="45"/>
      <c r="I179"/>
      <c r="M179"/>
      <c r="N179"/>
      <c r="O179"/>
      <c r="P179"/>
      <c r="Q179" s="45"/>
      <c r="R179" s="73"/>
    </row>
    <row r="180" spans="3:18" x14ac:dyDescent="0.3">
      <c r="C180" s="45"/>
      <c r="F180" s="73"/>
      <c r="G180" s="45"/>
      <c r="I180"/>
      <c r="M180"/>
      <c r="N180"/>
      <c r="O180"/>
      <c r="P180"/>
      <c r="Q180" s="45"/>
      <c r="R180" s="73"/>
    </row>
    <row r="181" spans="3:18" x14ac:dyDescent="0.3">
      <c r="C181" s="45"/>
      <c r="F181" s="73"/>
      <c r="G181" s="45"/>
      <c r="I181"/>
      <c r="M181"/>
      <c r="N181"/>
      <c r="O181"/>
      <c r="P181"/>
      <c r="Q181" s="45"/>
      <c r="R181" s="73"/>
    </row>
    <row r="182" spans="3:18" x14ac:dyDescent="0.3">
      <c r="C182" s="45"/>
      <c r="F182" s="73"/>
      <c r="G182" s="45"/>
      <c r="I182"/>
      <c r="M182"/>
      <c r="N182"/>
      <c r="O182"/>
      <c r="P182"/>
      <c r="Q182" s="45"/>
      <c r="R182" s="73"/>
    </row>
    <row r="183" spans="3:18" x14ac:dyDescent="0.3">
      <c r="C183" s="45"/>
      <c r="F183" s="73"/>
      <c r="G183" s="45"/>
      <c r="I183"/>
      <c r="M183"/>
      <c r="N183"/>
      <c r="O183"/>
      <c r="P183"/>
      <c r="Q183" s="45"/>
      <c r="R183" s="73"/>
    </row>
    <row r="184" spans="3:18" x14ac:dyDescent="0.3">
      <c r="C184" s="45"/>
      <c r="F184" s="73"/>
      <c r="G184" s="45"/>
      <c r="I184"/>
      <c r="M184"/>
      <c r="N184"/>
      <c r="O184"/>
      <c r="P184"/>
      <c r="Q184" s="45"/>
      <c r="R184" s="73"/>
    </row>
    <row r="185" spans="3:18" x14ac:dyDescent="0.3">
      <c r="C185" s="45"/>
      <c r="F185" s="73"/>
      <c r="G185" s="45"/>
      <c r="I185"/>
      <c r="M185"/>
      <c r="N185"/>
      <c r="O185"/>
      <c r="P185"/>
      <c r="Q185" s="45"/>
      <c r="R185" s="73"/>
    </row>
    <row r="186" spans="3:18" x14ac:dyDescent="0.3">
      <c r="C186" s="45"/>
      <c r="F186" s="73"/>
      <c r="G186" s="45"/>
      <c r="I186"/>
      <c r="M186"/>
      <c r="N186"/>
      <c r="O186"/>
      <c r="P186"/>
      <c r="Q186" s="45"/>
      <c r="R186" s="73"/>
    </row>
    <row r="187" spans="3:18" x14ac:dyDescent="0.3">
      <c r="C187" s="45"/>
      <c r="F187" s="73"/>
      <c r="G187" s="45"/>
      <c r="I187"/>
      <c r="M187"/>
      <c r="N187"/>
      <c r="O187"/>
      <c r="P187"/>
      <c r="Q187" s="45"/>
      <c r="R187" s="73"/>
    </row>
    <row r="188" spans="3:18" x14ac:dyDescent="0.3">
      <c r="C188" s="45"/>
      <c r="F188" s="73"/>
      <c r="G188" s="45"/>
      <c r="I188"/>
      <c r="M188"/>
      <c r="N188"/>
      <c r="O188"/>
      <c r="P188"/>
      <c r="Q188" s="45"/>
      <c r="R188" s="73"/>
    </row>
    <row r="189" spans="3:18" x14ac:dyDescent="0.3">
      <c r="C189" s="45"/>
      <c r="F189" s="73"/>
      <c r="G189" s="45"/>
      <c r="I189"/>
      <c r="M189"/>
      <c r="N189"/>
      <c r="O189"/>
      <c r="P189"/>
      <c r="Q189" s="45"/>
      <c r="R189" s="73"/>
    </row>
    <row r="190" spans="3:18" x14ac:dyDescent="0.3">
      <c r="C190" s="45"/>
      <c r="F190" s="73"/>
      <c r="G190" s="45"/>
      <c r="I190"/>
      <c r="M190"/>
      <c r="N190"/>
      <c r="O190"/>
      <c r="P190"/>
      <c r="Q190" s="45"/>
      <c r="R190" s="73"/>
    </row>
    <row r="191" spans="3:18" x14ac:dyDescent="0.3">
      <c r="C191" s="45"/>
      <c r="F191" s="73"/>
      <c r="G191" s="45"/>
      <c r="I191"/>
      <c r="M191"/>
      <c r="N191"/>
      <c r="O191"/>
      <c r="P191"/>
      <c r="Q191" s="45"/>
      <c r="R191" s="73"/>
    </row>
    <row r="192" spans="3:18" x14ac:dyDescent="0.3">
      <c r="C192" s="45"/>
      <c r="F192" s="73"/>
      <c r="G192" s="45"/>
      <c r="I192"/>
      <c r="M192"/>
      <c r="N192"/>
      <c r="O192"/>
      <c r="P192"/>
      <c r="Q192" s="45"/>
      <c r="R192" s="73"/>
    </row>
    <row r="193" spans="3:18" x14ac:dyDescent="0.3">
      <c r="C193" s="45"/>
      <c r="F193" s="73"/>
      <c r="G193" s="45"/>
      <c r="I193"/>
      <c r="M193"/>
      <c r="N193"/>
      <c r="O193"/>
      <c r="P193"/>
      <c r="Q193" s="45"/>
      <c r="R193" s="73"/>
    </row>
    <row r="194" spans="3:18" x14ac:dyDescent="0.3">
      <c r="C194" s="45"/>
      <c r="F194" s="73"/>
      <c r="G194" s="45"/>
      <c r="I194"/>
      <c r="M194"/>
      <c r="N194"/>
      <c r="O194"/>
      <c r="P194"/>
      <c r="Q194" s="45"/>
      <c r="R194" s="73"/>
    </row>
    <row r="195" spans="3:18" x14ac:dyDescent="0.3">
      <c r="C195" s="45"/>
      <c r="F195" s="73"/>
      <c r="G195" s="45"/>
      <c r="I195"/>
      <c r="M195"/>
      <c r="N195"/>
      <c r="O195"/>
      <c r="P195"/>
      <c r="Q195" s="45"/>
      <c r="R195" s="73"/>
    </row>
    <row r="196" spans="3:18" x14ac:dyDescent="0.3">
      <c r="C196" s="45"/>
      <c r="F196" s="73"/>
      <c r="G196" s="45"/>
      <c r="I196"/>
      <c r="M196"/>
      <c r="N196"/>
      <c r="O196"/>
      <c r="P196"/>
      <c r="Q196" s="45"/>
      <c r="R196" s="73"/>
    </row>
    <row r="197" spans="3:18" x14ac:dyDescent="0.3">
      <c r="C197" s="45"/>
      <c r="F197" s="73"/>
      <c r="G197" s="45"/>
      <c r="I197"/>
      <c r="M197"/>
      <c r="N197"/>
      <c r="O197"/>
      <c r="P197"/>
      <c r="Q197" s="45"/>
      <c r="R197" s="73"/>
    </row>
    <row r="198" spans="3:18" x14ac:dyDescent="0.3">
      <c r="C198" s="45"/>
      <c r="F198" s="73"/>
      <c r="G198" s="45"/>
      <c r="I198"/>
      <c r="M198"/>
      <c r="N198"/>
      <c r="O198"/>
      <c r="P198"/>
      <c r="Q198" s="45"/>
      <c r="R198" s="73"/>
    </row>
    <row r="199" spans="3:18" x14ac:dyDescent="0.3">
      <c r="C199" s="45"/>
      <c r="F199" s="73"/>
      <c r="G199" s="45"/>
      <c r="I199"/>
      <c r="M199"/>
      <c r="N199"/>
      <c r="O199"/>
      <c r="P199"/>
      <c r="Q199" s="45"/>
      <c r="R199" s="73"/>
    </row>
    <row r="200" spans="3:18" x14ac:dyDescent="0.3">
      <c r="C200" s="45"/>
      <c r="F200" s="73"/>
      <c r="G200" s="45"/>
      <c r="I200"/>
      <c r="M200"/>
      <c r="N200"/>
      <c r="O200"/>
      <c r="P200"/>
      <c r="Q200" s="45"/>
      <c r="R200" s="73"/>
    </row>
    <row r="201" spans="3:18" x14ac:dyDescent="0.3">
      <c r="C201" s="45"/>
      <c r="F201" s="73"/>
      <c r="G201" s="45"/>
      <c r="I201"/>
      <c r="M201"/>
      <c r="N201"/>
      <c r="O201"/>
      <c r="P201"/>
      <c r="Q201" s="45"/>
      <c r="R201" s="73"/>
    </row>
    <row r="202" spans="3:18" x14ac:dyDescent="0.3">
      <c r="C202" s="45"/>
      <c r="F202" s="73"/>
      <c r="G202" s="45"/>
      <c r="I202"/>
      <c r="M202"/>
      <c r="N202"/>
      <c r="O202"/>
      <c r="P202"/>
      <c r="Q202" s="45"/>
      <c r="R202" s="73"/>
    </row>
    <row r="203" spans="3:18" x14ac:dyDescent="0.3">
      <c r="C203" s="45"/>
      <c r="F203" s="73"/>
      <c r="G203" s="45"/>
      <c r="I203"/>
      <c r="M203"/>
      <c r="N203"/>
      <c r="O203"/>
      <c r="P203"/>
      <c r="Q203" s="45"/>
      <c r="R203" s="73"/>
    </row>
    <row r="204" spans="3:18" x14ac:dyDescent="0.3">
      <c r="C204" s="45"/>
      <c r="F204" s="73"/>
      <c r="G204" s="45"/>
      <c r="I204"/>
      <c r="M204"/>
      <c r="N204"/>
      <c r="O204"/>
      <c r="P204"/>
      <c r="Q204" s="45"/>
      <c r="R204" s="73"/>
    </row>
    <row r="205" spans="3:18" x14ac:dyDescent="0.3">
      <c r="C205" s="45"/>
      <c r="F205" s="73"/>
      <c r="G205" s="45"/>
      <c r="I205"/>
      <c r="M205"/>
      <c r="N205"/>
      <c r="O205"/>
      <c r="P205"/>
      <c r="Q205" s="45"/>
      <c r="R205" s="73"/>
    </row>
    <row r="206" spans="3:18" x14ac:dyDescent="0.3">
      <c r="C206" s="45"/>
      <c r="F206" s="73"/>
      <c r="G206" s="45"/>
      <c r="I206"/>
      <c r="M206"/>
      <c r="N206"/>
      <c r="O206"/>
      <c r="P206"/>
      <c r="Q206" s="45"/>
      <c r="R206" s="73"/>
    </row>
    <row r="207" spans="3:18" x14ac:dyDescent="0.3">
      <c r="C207" s="45"/>
      <c r="F207" s="73"/>
      <c r="G207" s="45"/>
      <c r="I207"/>
      <c r="M207"/>
      <c r="N207"/>
      <c r="O207"/>
      <c r="P207"/>
      <c r="Q207" s="45"/>
      <c r="R207" s="73"/>
    </row>
    <row r="208" spans="3:18" x14ac:dyDescent="0.3">
      <c r="C208" s="45"/>
      <c r="F208" s="73"/>
      <c r="G208" s="45"/>
      <c r="I208"/>
      <c r="M208"/>
      <c r="N208"/>
      <c r="O208"/>
      <c r="P208"/>
      <c r="Q208" s="45"/>
      <c r="R208" s="73"/>
    </row>
    <row r="209" spans="3:18" x14ac:dyDescent="0.3">
      <c r="C209" s="45"/>
      <c r="F209" s="73"/>
      <c r="G209" s="45"/>
      <c r="I209"/>
      <c r="M209"/>
      <c r="N209"/>
      <c r="O209"/>
      <c r="P209"/>
      <c r="Q209" s="45"/>
      <c r="R209" s="73"/>
    </row>
    <row r="210" spans="3:18" x14ac:dyDescent="0.3">
      <c r="C210" s="45"/>
      <c r="F210" s="73"/>
      <c r="G210" s="45"/>
      <c r="I210"/>
      <c r="M210"/>
      <c r="N210"/>
      <c r="O210"/>
      <c r="P210"/>
      <c r="Q210" s="45"/>
      <c r="R210" s="73"/>
    </row>
    <row r="211" spans="3:18" x14ac:dyDescent="0.3">
      <c r="C211" s="45"/>
      <c r="F211" s="73"/>
      <c r="G211" s="45"/>
      <c r="I211"/>
      <c r="M211"/>
      <c r="N211"/>
      <c r="O211"/>
      <c r="P211"/>
      <c r="Q211" s="45"/>
      <c r="R211" s="73"/>
    </row>
    <row r="212" spans="3:18" x14ac:dyDescent="0.3">
      <c r="C212" s="45"/>
      <c r="F212" s="73"/>
      <c r="G212" s="45"/>
      <c r="I212"/>
      <c r="M212"/>
      <c r="N212"/>
      <c r="O212"/>
      <c r="P212"/>
      <c r="Q212" s="45"/>
      <c r="R212" s="73"/>
    </row>
    <row r="213" spans="3:18" x14ac:dyDescent="0.3">
      <c r="C213" s="45"/>
      <c r="F213" s="73"/>
      <c r="G213" s="45"/>
      <c r="I213"/>
      <c r="M213"/>
      <c r="N213"/>
      <c r="O213"/>
      <c r="P213"/>
      <c r="Q213" s="45"/>
      <c r="R213" s="73"/>
    </row>
    <row r="214" spans="3:18" x14ac:dyDescent="0.3">
      <c r="C214" s="45"/>
      <c r="F214" s="73"/>
      <c r="G214" s="45"/>
      <c r="I214"/>
      <c r="M214"/>
      <c r="N214"/>
      <c r="O214"/>
      <c r="P214"/>
      <c r="Q214" s="45"/>
      <c r="R214" s="73"/>
    </row>
    <row r="215" spans="3:18" x14ac:dyDescent="0.3">
      <c r="C215" s="45"/>
      <c r="F215" s="73"/>
      <c r="G215" s="45"/>
      <c r="I215"/>
      <c r="M215"/>
      <c r="N215"/>
      <c r="O215"/>
      <c r="P215"/>
      <c r="Q215" s="45"/>
      <c r="R215" s="73"/>
    </row>
    <row r="216" spans="3:18" x14ac:dyDescent="0.3">
      <c r="C216" s="45"/>
      <c r="F216" s="73"/>
      <c r="G216" s="45"/>
      <c r="I216"/>
      <c r="M216"/>
      <c r="N216"/>
      <c r="O216"/>
      <c r="P216"/>
      <c r="Q216" s="45"/>
      <c r="R216" s="73"/>
    </row>
    <row r="217" spans="3:18" x14ac:dyDescent="0.3">
      <c r="C217" s="45"/>
      <c r="F217" s="73"/>
      <c r="G217" s="45"/>
      <c r="I217"/>
      <c r="M217"/>
      <c r="N217"/>
      <c r="O217"/>
      <c r="P217"/>
      <c r="Q217" s="45"/>
      <c r="R217" s="73"/>
    </row>
    <row r="218" spans="3:18" x14ac:dyDescent="0.3">
      <c r="C218" s="45"/>
      <c r="F218" s="73"/>
      <c r="G218" s="45"/>
      <c r="I218"/>
      <c r="M218"/>
      <c r="N218"/>
      <c r="O218"/>
      <c r="P218"/>
      <c r="Q218" s="45"/>
      <c r="R218" s="73"/>
    </row>
    <row r="219" spans="3:18" x14ac:dyDescent="0.3">
      <c r="C219" s="45"/>
      <c r="F219" s="73"/>
      <c r="G219" s="45"/>
      <c r="I219"/>
      <c r="M219"/>
      <c r="N219"/>
      <c r="O219"/>
      <c r="P219"/>
      <c r="Q219" s="45"/>
      <c r="R219" s="73"/>
    </row>
    <row r="220" spans="3:18" x14ac:dyDescent="0.3">
      <c r="C220" s="45"/>
      <c r="F220" s="73"/>
      <c r="G220" s="45"/>
      <c r="I220"/>
      <c r="M220"/>
      <c r="N220"/>
      <c r="O220"/>
      <c r="P220"/>
      <c r="Q220" s="45"/>
      <c r="R220" s="73"/>
    </row>
    <row r="221" spans="3:18" x14ac:dyDescent="0.3">
      <c r="C221" s="45"/>
      <c r="F221" s="73"/>
      <c r="G221" s="45"/>
      <c r="I221"/>
      <c r="M221"/>
      <c r="N221"/>
      <c r="O221"/>
      <c r="P221"/>
      <c r="Q221" s="45"/>
      <c r="R221" s="73"/>
    </row>
    <row r="222" spans="3:18" x14ac:dyDescent="0.3">
      <c r="C222" s="45"/>
      <c r="F222" s="73"/>
      <c r="G222" s="45"/>
      <c r="I222"/>
      <c r="M222"/>
      <c r="N222"/>
      <c r="O222"/>
      <c r="P222"/>
      <c r="Q222" s="45"/>
      <c r="R222" s="73"/>
    </row>
    <row r="223" spans="3:18" x14ac:dyDescent="0.3">
      <c r="C223" s="45"/>
      <c r="F223" s="73"/>
      <c r="G223" s="45"/>
      <c r="I223"/>
      <c r="M223"/>
      <c r="N223"/>
      <c r="O223"/>
      <c r="P223"/>
      <c r="Q223" s="45"/>
      <c r="R223" s="73"/>
    </row>
    <row r="224" spans="3:18" x14ac:dyDescent="0.3">
      <c r="C224" s="45"/>
      <c r="F224" s="73"/>
      <c r="G224" s="45"/>
      <c r="I224"/>
      <c r="M224"/>
      <c r="N224"/>
      <c r="O224"/>
      <c r="P224"/>
      <c r="Q224" s="45"/>
      <c r="R224" s="73"/>
    </row>
    <row r="225" spans="3:18" x14ac:dyDescent="0.3">
      <c r="C225" s="45"/>
      <c r="F225" s="73"/>
      <c r="G225" s="45"/>
      <c r="I225"/>
      <c r="M225"/>
      <c r="N225"/>
      <c r="O225"/>
      <c r="P225"/>
      <c r="Q225" s="45"/>
      <c r="R225" s="73"/>
    </row>
    <row r="226" spans="3:18" x14ac:dyDescent="0.3">
      <c r="C226" s="45"/>
      <c r="F226" s="73"/>
      <c r="G226" s="45"/>
      <c r="I226"/>
      <c r="M226"/>
      <c r="N226"/>
      <c r="O226"/>
      <c r="P226"/>
      <c r="Q226" s="45"/>
      <c r="R226" s="73"/>
    </row>
    <row r="227" spans="3:18" x14ac:dyDescent="0.3">
      <c r="C227" s="45"/>
      <c r="F227" s="73"/>
      <c r="G227" s="45"/>
      <c r="I227"/>
      <c r="M227"/>
      <c r="N227"/>
      <c r="O227"/>
      <c r="P227"/>
      <c r="Q227" s="45"/>
      <c r="R227" s="73"/>
    </row>
    <row r="228" spans="3:18" x14ac:dyDescent="0.3">
      <c r="C228" s="45"/>
      <c r="F228" s="73"/>
      <c r="G228" s="45"/>
      <c r="I228"/>
      <c r="M228"/>
      <c r="N228"/>
      <c r="O228"/>
      <c r="P228"/>
      <c r="Q228" s="45"/>
      <c r="R228" s="73"/>
    </row>
    <row r="229" spans="3:18" x14ac:dyDescent="0.3">
      <c r="C229" s="45"/>
      <c r="F229" s="73"/>
      <c r="G229" s="45"/>
      <c r="I229"/>
      <c r="M229"/>
      <c r="N229"/>
      <c r="O229"/>
      <c r="P229"/>
      <c r="Q229" s="45"/>
      <c r="R229" s="73"/>
    </row>
    <row r="230" spans="3:18" x14ac:dyDescent="0.3">
      <c r="C230" s="45"/>
      <c r="F230" s="73"/>
      <c r="G230" s="45"/>
      <c r="I230"/>
      <c r="M230"/>
      <c r="N230"/>
      <c r="O230"/>
      <c r="P230"/>
      <c r="Q230" s="45"/>
      <c r="R230" s="73"/>
    </row>
    <row r="231" spans="3:18" x14ac:dyDescent="0.3">
      <c r="C231" s="45"/>
      <c r="F231" s="73"/>
      <c r="G231" s="45"/>
      <c r="I231"/>
      <c r="M231"/>
      <c r="N231"/>
      <c r="O231"/>
      <c r="P231"/>
      <c r="Q231" s="45"/>
      <c r="R231" s="73"/>
    </row>
    <row r="232" spans="3:18" x14ac:dyDescent="0.3">
      <c r="C232" s="45"/>
      <c r="F232" s="73"/>
      <c r="G232" s="45"/>
      <c r="I232"/>
      <c r="M232"/>
      <c r="N232"/>
      <c r="O232"/>
      <c r="P232"/>
      <c r="Q232" s="45"/>
      <c r="R232" s="73"/>
    </row>
    <row r="233" spans="3:18" x14ac:dyDescent="0.3">
      <c r="C233" s="45"/>
      <c r="F233" s="73"/>
      <c r="G233" s="45"/>
      <c r="I233"/>
      <c r="M233"/>
      <c r="N233"/>
      <c r="O233"/>
      <c r="P233"/>
      <c r="Q233" s="45"/>
      <c r="R233" s="73"/>
    </row>
    <row r="234" spans="3:18" x14ac:dyDescent="0.3">
      <c r="C234" s="45"/>
      <c r="F234" s="73"/>
      <c r="G234" s="45"/>
      <c r="I234"/>
      <c r="M234"/>
      <c r="N234"/>
      <c r="O234"/>
      <c r="P234"/>
      <c r="Q234" s="45"/>
      <c r="R234" s="73"/>
    </row>
    <row r="235" spans="3:18" x14ac:dyDescent="0.3">
      <c r="C235" s="45"/>
      <c r="F235" s="73"/>
      <c r="G235" s="45"/>
      <c r="I235"/>
      <c r="M235"/>
      <c r="N235"/>
      <c r="O235"/>
      <c r="P235"/>
      <c r="Q235" s="45"/>
      <c r="R235" s="73"/>
    </row>
    <row r="236" spans="3:18" x14ac:dyDescent="0.3">
      <c r="C236" s="45"/>
      <c r="F236" s="73"/>
      <c r="G236" s="45"/>
      <c r="I236"/>
      <c r="M236"/>
      <c r="N236"/>
      <c r="O236"/>
      <c r="P236"/>
      <c r="Q236" s="45"/>
      <c r="R236" s="73"/>
    </row>
    <row r="237" spans="3:18" x14ac:dyDescent="0.3">
      <c r="C237" s="45"/>
      <c r="F237" s="73"/>
      <c r="G237" s="45"/>
      <c r="I237"/>
      <c r="M237"/>
      <c r="N237"/>
      <c r="O237"/>
      <c r="P237"/>
      <c r="Q237" s="45"/>
      <c r="R237" s="73"/>
    </row>
    <row r="238" spans="3:18" x14ac:dyDescent="0.3">
      <c r="C238" s="45"/>
      <c r="F238" s="73"/>
      <c r="G238" s="45"/>
      <c r="I238"/>
      <c r="M238"/>
      <c r="N238"/>
      <c r="O238"/>
      <c r="P238"/>
      <c r="Q238" s="45"/>
      <c r="R238" s="73"/>
    </row>
    <row r="239" spans="3:18" x14ac:dyDescent="0.3">
      <c r="C239" s="45"/>
      <c r="F239" s="73"/>
      <c r="G239" s="45"/>
      <c r="I239"/>
      <c r="M239"/>
      <c r="N239"/>
      <c r="O239"/>
      <c r="P239"/>
      <c r="Q239" s="45"/>
      <c r="R239" s="73"/>
    </row>
    <row r="240" spans="3:18" x14ac:dyDescent="0.3">
      <c r="C240" s="45"/>
      <c r="F240" s="73"/>
      <c r="G240" s="45"/>
      <c r="I240"/>
      <c r="M240"/>
      <c r="N240"/>
      <c r="O240"/>
      <c r="P240"/>
      <c r="Q240" s="45"/>
      <c r="R240" s="73"/>
    </row>
    <row r="241" spans="3:18" x14ac:dyDescent="0.3">
      <c r="C241" s="45"/>
      <c r="F241" s="73"/>
      <c r="G241" s="45"/>
      <c r="I241"/>
      <c r="M241"/>
      <c r="N241"/>
      <c r="O241"/>
      <c r="P241"/>
      <c r="Q241" s="45"/>
      <c r="R241" s="73"/>
    </row>
    <row r="242" spans="3:18" x14ac:dyDescent="0.3">
      <c r="C242" s="45"/>
      <c r="F242" s="73"/>
      <c r="G242" s="45"/>
      <c r="I242"/>
      <c r="M242"/>
      <c r="N242"/>
      <c r="O242"/>
      <c r="P242"/>
      <c r="Q242" s="45"/>
      <c r="R242" s="73"/>
    </row>
    <row r="243" spans="3:18" x14ac:dyDescent="0.3">
      <c r="C243" s="45"/>
      <c r="F243" s="73"/>
      <c r="G243" s="45"/>
      <c r="I243"/>
      <c r="M243"/>
      <c r="N243"/>
      <c r="O243"/>
      <c r="P243"/>
      <c r="Q243" s="45"/>
      <c r="R243" s="73"/>
    </row>
    <row r="244" spans="3:18" x14ac:dyDescent="0.3">
      <c r="C244" s="45"/>
      <c r="F244" s="73"/>
      <c r="G244" s="45"/>
      <c r="I244"/>
      <c r="M244"/>
      <c r="N244"/>
      <c r="O244"/>
      <c r="P244"/>
      <c r="Q244" s="45"/>
      <c r="R244" s="73"/>
    </row>
    <row r="245" spans="3:18" x14ac:dyDescent="0.3">
      <c r="C245" s="45"/>
      <c r="F245" s="73"/>
      <c r="G245" s="45"/>
      <c r="I245"/>
      <c r="M245"/>
      <c r="N245"/>
      <c r="O245"/>
      <c r="P245"/>
      <c r="Q245" s="45"/>
      <c r="R245" s="73"/>
    </row>
    <row r="246" spans="3:18" x14ac:dyDescent="0.3">
      <c r="C246" s="45"/>
      <c r="F246" s="73"/>
      <c r="G246" s="45"/>
      <c r="I246"/>
      <c r="M246"/>
      <c r="N246"/>
      <c r="O246"/>
      <c r="P246"/>
      <c r="Q246" s="45"/>
      <c r="R246" s="73"/>
    </row>
    <row r="247" spans="3:18" x14ac:dyDescent="0.3">
      <c r="C247" s="45"/>
      <c r="F247" s="73"/>
      <c r="G247" s="45"/>
      <c r="I247"/>
      <c r="M247"/>
      <c r="N247"/>
      <c r="O247"/>
      <c r="P247"/>
      <c r="Q247" s="45"/>
      <c r="R247" s="73"/>
    </row>
    <row r="248" spans="3:18" x14ac:dyDescent="0.3">
      <c r="C248" s="45"/>
      <c r="F248" s="73"/>
      <c r="G248" s="45"/>
      <c r="I248"/>
      <c r="M248"/>
      <c r="N248"/>
      <c r="O248"/>
      <c r="P248"/>
      <c r="Q248" s="45"/>
      <c r="R248" s="73"/>
    </row>
    <row r="249" spans="3:18" x14ac:dyDescent="0.3">
      <c r="C249" s="45"/>
      <c r="F249" s="73"/>
      <c r="G249" s="45"/>
      <c r="I249"/>
      <c r="M249"/>
      <c r="N249"/>
      <c r="O249"/>
      <c r="P249"/>
      <c r="Q249" s="45"/>
      <c r="R249" s="73"/>
    </row>
    <row r="250" spans="3:18" x14ac:dyDescent="0.3">
      <c r="C250" s="45"/>
      <c r="F250" s="73"/>
      <c r="G250" s="45"/>
      <c r="I250"/>
      <c r="M250"/>
      <c r="N250"/>
      <c r="O250"/>
      <c r="P250"/>
      <c r="Q250" s="45"/>
      <c r="R250" s="73"/>
    </row>
    <row r="251" spans="3:18" x14ac:dyDescent="0.3">
      <c r="C251" s="45"/>
      <c r="F251" s="73"/>
      <c r="G251" s="45"/>
      <c r="I251"/>
      <c r="M251"/>
      <c r="N251"/>
      <c r="O251"/>
      <c r="P251"/>
      <c r="Q251" s="45"/>
      <c r="R251" s="73"/>
    </row>
    <row r="252" spans="3:18" x14ac:dyDescent="0.3">
      <c r="C252" s="45"/>
      <c r="F252" s="73"/>
      <c r="G252" s="45"/>
      <c r="I252"/>
      <c r="M252"/>
      <c r="N252"/>
      <c r="O252"/>
      <c r="P252"/>
      <c r="Q252" s="45"/>
      <c r="R252" s="73"/>
    </row>
    <row r="253" spans="3:18" x14ac:dyDescent="0.3">
      <c r="C253" s="45"/>
      <c r="F253" s="73"/>
      <c r="G253" s="45"/>
      <c r="I253"/>
      <c r="M253"/>
      <c r="N253"/>
      <c r="O253"/>
      <c r="P253"/>
      <c r="Q253" s="45"/>
      <c r="R253" s="73"/>
    </row>
    <row r="254" spans="3:18" x14ac:dyDescent="0.3">
      <c r="C254" s="45"/>
      <c r="F254" s="73"/>
      <c r="G254" s="45"/>
      <c r="I254"/>
      <c r="M254"/>
      <c r="N254"/>
      <c r="O254"/>
      <c r="P254"/>
      <c r="Q254" s="45"/>
      <c r="R254" s="73"/>
    </row>
    <row r="255" spans="3:18" x14ac:dyDescent="0.3">
      <c r="C255" s="45"/>
      <c r="F255" s="73"/>
      <c r="G255" s="45"/>
      <c r="I255"/>
      <c r="M255"/>
      <c r="N255"/>
      <c r="O255"/>
      <c r="P255"/>
      <c r="Q255" s="45"/>
      <c r="R255" s="73"/>
    </row>
    <row r="256" spans="3:18" x14ac:dyDescent="0.3">
      <c r="C256" s="45"/>
      <c r="F256" s="73"/>
      <c r="G256" s="45"/>
      <c r="I256"/>
      <c r="M256"/>
      <c r="N256"/>
      <c r="O256"/>
      <c r="P256"/>
      <c r="Q256" s="45"/>
      <c r="R256" s="73"/>
    </row>
    <row r="257" spans="6:18" x14ac:dyDescent="0.3">
      <c r="M257"/>
      <c r="N257"/>
      <c r="O257"/>
      <c r="P257"/>
    </row>
    <row r="270" spans="6:18" x14ac:dyDescent="0.3">
      <c r="F270"/>
      <c r="G270"/>
      <c r="R27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X78"/>
  <sheetViews>
    <sheetView tabSelected="1" topLeftCell="A61" zoomScaleNormal="100" workbookViewId="0">
      <selection activeCell="M74" sqref="M74"/>
    </sheetView>
  </sheetViews>
  <sheetFormatPr defaultColWidth="11.5546875" defaultRowHeight="14.4" x14ac:dyDescent="0.3"/>
  <cols>
    <col min="1" max="1" width="2.6640625" customWidth="1"/>
    <col min="2" max="2" width="5.33203125" customWidth="1"/>
    <col min="3" max="3" width="21" style="45" customWidth="1"/>
    <col min="4" max="4" width="8.6640625" style="87" customWidth="1"/>
    <col min="5" max="5" width="8.109375" style="45" customWidth="1"/>
    <col min="6" max="6" width="3.33203125" customWidth="1"/>
    <col min="7" max="7" width="6" customWidth="1"/>
    <col min="8" max="8" width="15.77734375" style="45" customWidth="1"/>
    <col min="9" max="9" width="6.33203125" customWidth="1"/>
    <col min="10" max="10" width="7" customWidth="1"/>
    <col min="11" max="11" width="20.6640625" customWidth="1"/>
    <col min="12" max="12" width="3.44140625" customWidth="1"/>
    <col min="13" max="13" width="5.6640625" customWidth="1"/>
    <col min="14" max="14" width="16.6640625" customWidth="1"/>
    <col min="15" max="15" width="6.6640625" customWidth="1"/>
    <col min="16" max="16" width="7.44140625" customWidth="1"/>
    <col min="17" max="17" width="2.6640625" customWidth="1"/>
    <col min="18" max="18" width="7" customWidth="1"/>
    <col min="19" max="19" width="15.77734375" style="45" customWidth="1"/>
    <col min="20" max="20" width="8" customWidth="1"/>
    <col min="21" max="21" width="7.77734375" customWidth="1"/>
    <col min="22" max="22" width="9.109375" customWidth="1"/>
    <col min="23" max="23" width="4.21875" customWidth="1"/>
  </cols>
  <sheetData>
    <row r="1" spans="2:24" x14ac:dyDescent="0.3">
      <c r="H1" s="45" t="s">
        <v>759</v>
      </c>
      <c r="W1">
        <v>-4</v>
      </c>
    </row>
    <row r="2" spans="2:24" ht="21" x14ac:dyDescent="0.4">
      <c r="H2" s="102" t="s">
        <v>758</v>
      </c>
      <c r="I2" s="103">
        <v>3</v>
      </c>
      <c r="W2">
        <v>-3</v>
      </c>
      <c r="X2" t="s">
        <v>402</v>
      </c>
    </row>
    <row r="3" spans="2:24" x14ac:dyDescent="0.3">
      <c r="W3">
        <v>-2</v>
      </c>
      <c r="X3" t="s">
        <v>853</v>
      </c>
    </row>
    <row r="4" spans="2:24" x14ac:dyDescent="0.3">
      <c r="W4">
        <v>-1</v>
      </c>
      <c r="X4" t="s">
        <v>744</v>
      </c>
    </row>
    <row r="5" spans="2:24" x14ac:dyDescent="0.3">
      <c r="W5">
        <v>0</v>
      </c>
      <c r="X5" t="s">
        <v>740</v>
      </c>
    </row>
    <row r="6" spans="2:24" x14ac:dyDescent="0.3">
      <c r="W6">
        <v>1</v>
      </c>
      <c r="X6" t="s">
        <v>852</v>
      </c>
    </row>
    <row r="7" spans="2:24" x14ac:dyDescent="0.3">
      <c r="W7">
        <v>2</v>
      </c>
      <c r="X7" t="s">
        <v>715</v>
      </c>
    </row>
    <row r="8" spans="2:24" ht="21" x14ac:dyDescent="0.4">
      <c r="B8" t="s">
        <v>755</v>
      </c>
      <c r="E8" s="102" t="s">
        <v>760</v>
      </c>
      <c r="P8" s="103" t="s">
        <v>761</v>
      </c>
      <c r="W8">
        <v>3</v>
      </c>
      <c r="X8" t="s">
        <v>854</v>
      </c>
    </row>
    <row r="9" spans="2:24" x14ac:dyDescent="0.3">
      <c r="N9" s="45"/>
      <c r="O9" s="87"/>
      <c r="P9" s="45"/>
      <c r="W9">
        <v>4</v>
      </c>
      <c r="X9" t="s">
        <v>855</v>
      </c>
    </row>
    <row r="10" spans="2:24" ht="16.95" customHeight="1" x14ac:dyDescent="0.3">
      <c r="B10" s="94" t="s">
        <v>756</v>
      </c>
      <c r="C10" s="97" t="s">
        <v>757</v>
      </c>
      <c r="D10" s="88" t="s">
        <v>8</v>
      </c>
      <c r="E10" s="89" t="s">
        <v>1</v>
      </c>
      <c r="G10" s="94" t="s">
        <v>756</v>
      </c>
      <c r="H10" s="97" t="s">
        <v>757</v>
      </c>
      <c r="I10" s="100" t="s">
        <v>8</v>
      </c>
      <c r="J10" s="101" t="s">
        <v>1</v>
      </c>
      <c r="M10" s="94" t="s">
        <v>756</v>
      </c>
      <c r="N10" s="97" t="s">
        <v>757</v>
      </c>
      <c r="O10" s="88" t="s">
        <v>8</v>
      </c>
      <c r="P10" s="89" t="s">
        <v>1</v>
      </c>
      <c r="R10" s="94" t="s">
        <v>756</v>
      </c>
      <c r="S10" s="97" t="s">
        <v>757</v>
      </c>
      <c r="T10" s="100" t="s">
        <v>8</v>
      </c>
      <c r="U10" s="101" t="s">
        <v>1</v>
      </c>
      <c r="W10">
        <v>5</v>
      </c>
      <c r="X10" t="s">
        <v>728</v>
      </c>
    </row>
    <row r="11" spans="2:24" ht="16.95" customHeight="1" x14ac:dyDescent="0.3">
      <c r="B11" s="95">
        <v>1</v>
      </c>
      <c r="C11" s="98" t="str">
        <f>VLOOKUP(B11,Nucleo_Pins_Altium!$H$2:$Y$144, 13+CN11Odd, FALSE)</f>
        <v>MCU/SD_D2</v>
      </c>
      <c r="D11" s="90" t="str">
        <f>VLOOKUP(B11,Nucleo_Pins_Altium!$H$2:$Y$144, 8, FALSE)</f>
        <v>C</v>
      </c>
      <c r="E11" s="91">
        <f>VLOOKUP(B11,Nucleo_Pins_Altium!$H$2:$Y$144, 9, FALSE)</f>
        <v>10</v>
      </c>
      <c r="G11" s="95">
        <v>2</v>
      </c>
      <c r="H11" s="98" t="str">
        <f>VLOOKUP(G11,Nucleo_Pins_Altium!$I$2:$Y$144, 12+CN11Odd, FALSE)</f>
        <v>MCU/SD_D3</v>
      </c>
      <c r="I11" s="90" t="str">
        <f>VLOOKUP(G11,Nucleo_Pins_Altium!$I$2:$Y$144, 7, FALSE)</f>
        <v>C</v>
      </c>
      <c r="J11" s="91">
        <f>VLOOKUP(G11,Nucleo_Pins_Altium!$I$2:$Y$144, 8, FALSE)</f>
        <v>11</v>
      </c>
      <c r="M11" s="95">
        <v>1</v>
      </c>
      <c r="N11" s="98" t="str">
        <f>VLOOKUP(M11,Nucleo_Pins_Altium!$J$2:$Y$144, 11+CN11Odd, FALSE)</f>
        <v>MCU/SD_D1</v>
      </c>
      <c r="O11" s="90" t="str">
        <f>VLOOKUP(M11,Nucleo_Pins_Altium!$J$2:$Y$144, 6, FALSE)</f>
        <v>C</v>
      </c>
      <c r="P11" s="91">
        <f>VLOOKUP(M11,Nucleo_Pins_Altium!$J$2:$Y$144, 7, FALSE)</f>
        <v>9</v>
      </c>
      <c r="R11" s="95">
        <v>2</v>
      </c>
      <c r="S11" s="98" t="str">
        <f>VLOOKUP(R11,Nucleo_Pins_Altium!$K$2:$Y$144, 10+CN11Odd, FALSE)</f>
        <v>MCU/SD_D0</v>
      </c>
      <c r="T11" s="90" t="str">
        <f>VLOOKUP(R11,Nucleo_Pins_Altium!$K$2:$Y$144, 5, FALSE)</f>
        <v>C</v>
      </c>
      <c r="U11" s="91">
        <f>VLOOKUP(R11,Nucleo_Pins_Altium!$K$2:$Y$144, 6, FALSE)</f>
        <v>8</v>
      </c>
    </row>
    <row r="12" spans="2:24" ht="16.95" customHeight="1" x14ac:dyDescent="0.3">
      <c r="B12" s="95">
        <v>3</v>
      </c>
      <c r="C12" s="98" t="str">
        <f>VLOOKUP(B12,Nucleo_Pins_Altium!$H$2:$Y$144, 13+CN11Odd, FALSE)</f>
        <v>MCU/SD_CLK</v>
      </c>
      <c r="D12" s="90" t="str">
        <f>VLOOKUP(B12,Nucleo_Pins_Altium!$H$2:$Y$144, 8, FALSE)</f>
        <v>C</v>
      </c>
      <c r="E12" s="91">
        <f>VLOOKUP(B12,Nucleo_Pins_Altium!$H$2:$Y$144, 9, FALSE)</f>
        <v>12</v>
      </c>
      <c r="G12" s="95">
        <v>4</v>
      </c>
      <c r="H12" s="98" t="str">
        <f>VLOOKUP(G12,Nucleo_Pins_Altium!$I$2:$Y$144, 12+CN11Odd, FALSE)</f>
        <v>MCU/SD_CMD</v>
      </c>
      <c r="I12" s="90" t="str">
        <f>VLOOKUP(G12,Nucleo_Pins_Altium!$I$2:$Y$144, 7, FALSE)</f>
        <v>D</v>
      </c>
      <c r="J12" s="91">
        <f>VLOOKUP(G12,Nucleo_Pins_Altium!$I$2:$Y$144, 8, FALSE)</f>
        <v>2</v>
      </c>
      <c r="M12" s="95">
        <v>3</v>
      </c>
      <c r="N12" s="98" t="str">
        <f>VLOOKUP(M12,Nucleo_Pins_Altium!$H$2:$Y$144, 13+CN11Odd, FALSE)</f>
        <v>MCU/SD_CLK</v>
      </c>
      <c r="O12" s="90" t="str">
        <f>VLOOKUP(M12,Nucleo_Pins_Altium!$J$2:$Y$144, 6, FALSE)</f>
        <v>B</v>
      </c>
      <c r="P12" s="91">
        <f>VLOOKUP(M12,Nucleo_Pins_Altium!$J$2:$Y$144, 7, FALSE)</f>
        <v>8</v>
      </c>
      <c r="R12" s="95">
        <v>4</v>
      </c>
      <c r="S12" s="98" t="str">
        <f>VLOOKUP(R12,Nucleo_Pins_Altium!$K$2:$Y$144, 10+CN11Odd, FALSE)</f>
        <v>T8_CH1_ENC3A</v>
      </c>
      <c r="T12" s="90" t="str">
        <f>VLOOKUP(R12,Nucleo_Pins_Altium!$K$2:$Y$144, 5, FALSE)</f>
        <v>C</v>
      </c>
      <c r="U12" s="91">
        <f>VLOOKUP(R12,Nucleo_Pins_Altium!$K$2:$Y$144, 6, FALSE)</f>
        <v>6</v>
      </c>
    </row>
    <row r="13" spans="2:24" ht="16.95" customHeight="1" x14ac:dyDescent="0.3">
      <c r="B13" s="95">
        <v>5</v>
      </c>
      <c r="C13" s="98">
        <f>VLOOKUP(B13,Nucleo_Pins_Altium!$H$2:$Y$144, 13+CN11Odd, FALSE)</f>
        <v>0</v>
      </c>
      <c r="D13" s="90" t="str">
        <f>VLOOKUP(B13,Nucleo_Pins_Altium!$H$2:$Y$144, 8, FALSE)</f>
        <v>VDD</v>
      </c>
      <c r="E13" s="91" t="str">
        <f>VLOOKUP(B13,Nucleo_Pins_Altium!$H$2:$Y$144, 9, FALSE)</f>
        <v>VDD</v>
      </c>
      <c r="G13" s="95">
        <v>6</v>
      </c>
      <c r="H13" s="98" t="str">
        <f>VLOOKUP(G13,Nucleo_Pins_Altium!$I$2:$Y$144, 12+CN11Odd, FALSE)</f>
        <v>E5V input</v>
      </c>
      <c r="I13" s="90" t="str">
        <f>VLOOKUP(G13,Nucleo_Pins_Altium!$I$2:$Y$144, 7, FALSE)</f>
        <v>E5V</v>
      </c>
      <c r="J13" s="91" t="str">
        <f>VLOOKUP(G13,Nucleo_Pins_Altium!$I$2:$Y$144, 8, FALSE)</f>
        <v>E5V</v>
      </c>
      <c r="M13" s="95">
        <v>5</v>
      </c>
      <c r="N13" s="98">
        <f>VLOOKUP(M13,Nucleo_Pins_Altium!$H$2:$Y$144, 13+CN11Odd, FALSE)</f>
        <v>0</v>
      </c>
      <c r="O13" s="90" t="str">
        <f>VLOOKUP(M13,Nucleo_Pins_Altium!$J$2:$Y$144, 6, FALSE)</f>
        <v>B</v>
      </c>
      <c r="P13" s="91">
        <f>VLOOKUP(M13,Nucleo_Pins_Altium!$J$2:$Y$144, 7, FALSE)</f>
        <v>9</v>
      </c>
      <c r="R13" s="95">
        <v>6</v>
      </c>
      <c r="S13" s="98" t="str">
        <f>VLOOKUP(R13,Nucleo_Pins_Altium!$K$2:$Y$144, 10+CN11Odd, FALSE)</f>
        <v>NOT AVAIL (ETH)</v>
      </c>
      <c r="T13" s="90" t="str">
        <f>VLOOKUP(R13,Nucleo_Pins_Altium!$K$2:$Y$144, 5, FALSE)</f>
        <v>C</v>
      </c>
      <c r="U13" s="91">
        <f>VLOOKUP(R13,Nucleo_Pins_Altium!$K$2:$Y$144, 6, FALSE)</f>
        <v>5</v>
      </c>
    </row>
    <row r="14" spans="2:24" ht="16.95" customHeight="1" x14ac:dyDescent="0.3">
      <c r="B14" s="95">
        <v>7</v>
      </c>
      <c r="C14" s="98" t="str">
        <f>VLOOKUP(B14,Nucleo_Pins_Altium!$H$2:$Y$144, 13+CN11Odd, FALSE)</f>
        <v>BOOT0</v>
      </c>
      <c r="D14" s="90" t="str">
        <f>VLOOKUP(B14,Nucleo_Pins_Altium!$H$2:$Y$144, 8, FALSE)</f>
        <v>BOOT0(1)</v>
      </c>
      <c r="E14" s="91" t="str">
        <f>VLOOKUP(B14,Nucleo_Pins_Altium!$H$2:$Y$144, 9, FALSE)</f>
        <v>BOOT0(1)</v>
      </c>
      <c r="G14" s="95">
        <v>8</v>
      </c>
      <c r="H14" s="98" t="str">
        <f>VLOOKUP(G14,Nucleo_Pins_Altium!$I$2:$Y$144, 12+CN11Odd, FALSE)</f>
        <v>GND</v>
      </c>
      <c r="I14" s="90" t="str">
        <f>VLOOKUP(G14,Nucleo_Pins_Altium!$I$2:$Y$144, 7, FALSE)</f>
        <v>GND</v>
      </c>
      <c r="J14" s="91" t="str">
        <f>VLOOKUP(G14,Nucleo_Pins_Altium!$I$2:$Y$144, 8, FALSE)</f>
        <v>GND</v>
      </c>
      <c r="M14" s="95">
        <v>7</v>
      </c>
      <c r="N14" s="98" t="str">
        <f>VLOOKUP(M14,Nucleo_Pins_Altium!$H$2:$Y$144, 13+CN11Odd, FALSE)</f>
        <v>BOOT0</v>
      </c>
      <c r="O14" s="90" t="str">
        <f>VLOOKUP(M14,Nucleo_Pins_Altium!$J$2:$Y$144, 6, FALSE)</f>
        <v>AVDD</v>
      </c>
      <c r="P14" s="91" t="str">
        <f>VLOOKUP(M14,Nucleo_Pins_Altium!$J$2:$Y$144, 7, FALSE)</f>
        <v>AVDD</v>
      </c>
      <c r="R14" s="95">
        <v>8</v>
      </c>
      <c r="S14" s="98">
        <f>VLOOKUP(R14,Nucleo_Pins_Altium!$K$2:$Y$144, 10+CN11Odd, FALSE)</f>
        <v>0</v>
      </c>
      <c r="T14" s="90" t="str">
        <f>VLOOKUP(R14,Nucleo_Pins_Altium!$K$2:$Y$144, 5, FALSE)</f>
        <v>U5V(2)</v>
      </c>
      <c r="U14" s="91" t="str">
        <f>VLOOKUP(R14,Nucleo_Pins_Altium!$K$2:$Y$144, 6, FALSE)</f>
        <v>U5V(2)</v>
      </c>
    </row>
    <row r="15" spans="2:24" ht="16.95" customHeight="1" x14ac:dyDescent="0.3">
      <c r="B15" s="95">
        <v>9</v>
      </c>
      <c r="C15" s="98" t="str">
        <f>VLOOKUP(B15,Nucleo_Pins_Altium!$H$2:$Y$144, 13+CN11Odd, FALSE)</f>
        <v>DIG_IN0</v>
      </c>
      <c r="D15" s="90" t="str">
        <f>VLOOKUP(B15,Nucleo_Pins_Altium!$H$2:$Y$144, 8, FALSE)</f>
        <v>F</v>
      </c>
      <c r="E15" s="91">
        <f>VLOOKUP(B15,Nucleo_Pins_Altium!$H$2:$Y$144, 9, FALSE)</f>
        <v>6</v>
      </c>
      <c r="G15" s="95">
        <v>10</v>
      </c>
      <c r="H15" s="98">
        <f>VLOOKUP(G15,Nucleo_Pins_Altium!$I$2:$Y$144, 12+CN11Odd, FALSE)</f>
        <v>0</v>
      </c>
      <c r="I15" s="90" t="str">
        <f>VLOOKUP(G15,Nucleo_Pins_Altium!$I$2:$Y$144, 7, FALSE)</f>
        <v>-</v>
      </c>
      <c r="J15" s="91" t="str">
        <f>VLOOKUP(G15,Nucleo_Pins_Altium!$I$2:$Y$144, 8, FALSE)</f>
        <v>-</v>
      </c>
      <c r="M15" s="95">
        <v>9</v>
      </c>
      <c r="N15" s="98" t="str">
        <f>VLOOKUP(M15,Nucleo_Pins_Altium!$H$2:$Y$144, 13+CN11Odd, FALSE)</f>
        <v>DIG_IN0</v>
      </c>
      <c r="O15" s="90" t="str">
        <f>VLOOKUP(M15,Nucleo_Pins_Altium!$J$2:$Y$144, 6, FALSE)</f>
        <v>GND</v>
      </c>
      <c r="P15" s="91" t="str">
        <f>VLOOKUP(M15,Nucleo_Pins_Altium!$J$2:$Y$144, 7, FALSE)</f>
        <v>GND</v>
      </c>
      <c r="R15" s="95">
        <v>10</v>
      </c>
      <c r="S15" s="98" t="str">
        <f>VLOOKUP(R15,Nucleo_Pins_Altium!$K$2:$Y$144, 10+CN11Odd, FALSE)</f>
        <v>NOT AVAIL (USB)</v>
      </c>
      <c r="T15" s="90" t="str">
        <f>VLOOKUP(R15,Nucleo_Pins_Altium!$K$2:$Y$144, 5, FALSE)</f>
        <v>D</v>
      </c>
      <c r="U15" s="91">
        <f>VLOOKUP(R15,Nucleo_Pins_Altium!$K$2:$Y$144, 6, FALSE)</f>
        <v>8</v>
      </c>
    </row>
    <row r="16" spans="2:24" ht="16.95" customHeight="1" x14ac:dyDescent="0.3">
      <c r="B16" s="95">
        <v>11</v>
      </c>
      <c r="C16" s="98" t="str">
        <f>VLOOKUP(B16,Nucleo_Pins_Altium!$H$2:$Y$144, 13+CN11Odd, FALSE)</f>
        <v>DIG_IN1</v>
      </c>
      <c r="D16" s="90" t="str">
        <f>VLOOKUP(B16,Nucleo_Pins_Altium!$H$2:$Y$144, 8, FALSE)</f>
        <v>F</v>
      </c>
      <c r="E16" s="91">
        <f>VLOOKUP(B16,Nucleo_Pins_Altium!$H$2:$Y$144, 9, FALSE)</f>
        <v>7</v>
      </c>
      <c r="G16" s="95">
        <v>12</v>
      </c>
      <c r="H16" s="98" t="str">
        <f>VLOOKUP(G16,Nucleo_Pins_Altium!$I$2:$Y$144, 12+CN11Odd, FALSE)</f>
        <v>IOREF</v>
      </c>
      <c r="I16" s="90" t="str">
        <f>VLOOKUP(G16,Nucleo_Pins_Altium!$I$2:$Y$144, 7, FALSE)</f>
        <v>IOREF</v>
      </c>
      <c r="J16" s="91" t="str">
        <f>VLOOKUP(G16,Nucleo_Pins_Altium!$I$2:$Y$144, 8, FALSE)</f>
        <v>IOREF</v>
      </c>
      <c r="M16" s="95">
        <v>11</v>
      </c>
      <c r="N16" s="98" t="str">
        <f>VLOOKUP(M16,Nucleo_Pins_Altium!$H$2:$Y$144, 13+CN11Odd, FALSE)</f>
        <v>DIG_IN1</v>
      </c>
      <c r="O16" s="90" t="str">
        <f>VLOOKUP(M16,Nucleo_Pins_Altium!$J$2:$Y$144, 6, FALSE)</f>
        <v>A</v>
      </c>
      <c r="P16" s="91">
        <f>VLOOKUP(M16,Nucleo_Pins_Altium!$J$2:$Y$144, 7, FALSE)</f>
        <v>5</v>
      </c>
      <c r="R16" s="95">
        <v>12</v>
      </c>
      <c r="S16" s="98" t="str">
        <f>VLOOKUP(R16,Nucleo_Pins_Altium!$K$2:$Y$144, 10+CN11Odd, FALSE)</f>
        <v>NOT AVAIL (USB)</v>
      </c>
      <c r="T16" s="90" t="str">
        <f>VLOOKUP(R16,Nucleo_Pins_Altium!$K$2:$Y$144, 5, FALSE)</f>
        <v>A</v>
      </c>
      <c r="U16" s="91">
        <f>VLOOKUP(R16,Nucleo_Pins_Altium!$K$2:$Y$144, 6, FALSE)</f>
        <v>12</v>
      </c>
    </row>
    <row r="17" spans="2:21" ht="16.95" customHeight="1" x14ac:dyDescent="0.3">
      <c r="B17" s="95">
        <v>13</v>
      </c>
      <c r="C17" s="98" t="str">
        <f>VLOOKUP(B17,Nucleo_Pins_Altium!$H$2:$Y$144, 13+CN11Odd, FALSE)</f>
        <v>SWIO</v>
      </c>
      <c r="D17" s="90" t="str">
        <f>VLOOKUP(B17,Nucleo_Pins_Altium!$H$2:$Y$144, 8, FALSE)</f>
        <v>A</v>
      </c>
      <c r="E17" s="91">
        <f>VLOOKUP(B17,Nucleo_Pins_Altium!$H$2:$Y$144, 9, FALSE)</f>
        <v>13</v>
      </c>
      <c r="G17" s="95">
        <v>14</v>
      </c>
      <c r="H17" s="98" t="str">
        <f>VLOOKUP(G17,Nucleo_Pins_Altium!$I$2:$Y$144, 12+CN11Odd, FALSE)</f>
        <v>RESET</v>
      </c>
      <c r="I17" s="90" t="str">
        <f>VLOOKUP(G17,Nucleo_Pins_Altium!$I$2:$Y$144, 7, FALSE)</f>
        <v>RESET</v>
      </c>
      <c r="J17" s="91" t="str">
        <f>VLOOKUP(G17,Nucleo_Pins_Altium!$I$2:$Y$144, 8, FALSE)</f>
        <v>RESET</v>
      </c>
      <c r="M17" s="95">
        <v>13</v>
      </c>
      <c r="N17" s="98" t="str">
        <f>VLOOKUP(M17,Nucleo_Pins_Altium!$H$2:$Y$144, 13+CN11Odd, FALSE)</f>
        <v>SWIO</v>
      </c>
      <c r="O17" s="90" t="str">
        <f>VLOOKUP(M17,Nucleo_Pins_Altium!$J$2:$Y$144, 6, FALSE)</f>
        <v>A</v>
      </c>
      <c r="P17" s="91">
        <f>VLOOKUP(M17,Nucleo_Pins_Altium!$J$2:$Y$144, 7, FALSE)</f>
        <v>6</v>
      </c>
      <c r="R17" s="95">
        <v>14</v>
      </c>
      <c r="S17" s="98" t="str">
        <f>VLOOKUP(R17,Nucleo_Pins_Altium!$K$2:$Y$144, 10+CN11Odd, FALSE)</f>
        <v>NOT AVAIL (USB)</v>
      </c>
      <c r="T17" s="90" t="str">
        <f>VLOOKUP(R17,Nucleo_Pins_Altium!$K$2:$Y$144, 5, FALSE)</f>
        <v>A</v>
      </c>
      <c r="U17" s="91">
        <f>VLOOKUP(R17,Nucleo_Pins_Altium!$K$2:$Y$144, 6, FALSE)</f>
        <v>11</v>
      </c>
    </row>
    <row r="18" spans="2:21" ht="16.95" customHeight="1" x14ac:dyDescent="0.3">
      <c r="B18" s="95">
        <v>15</v>
      </c>
      <c r="C18" s="98" t="str">
        <f>VLOOKUP(B18,Nucleo_Pins_Altium!$H$2:$Y$144, 13+CN11Odd, FALSE)</f>
        <v>SWCLK</v>
      </c>
      <c r="D18" s="90" t="str">
        <f>VLOOKUP(B18,Nucleo_Pins_Altium!$H$2:$Y$144, 8, FALSE)</f>
        <v>A</v>
      </c>
      <c r="E18" s="91">
        <f>VLOOKUP(B18,Nucleo_Pins_Altium!$H$2:$Y$144, 9, FALSE)</f>
        <v>14</v>
      </c>
      <c r="G18" s="95">
        <v>16</v>
      </c>
      <c r="H18" s="98" t="str">
        <f>VLOOKUP(G18,Nucleo_Pins_Altium!$I$2:$Y$144, 12+CN11Odd, FALSE)</f>
        <v>3V3 input/output</v>
      </c>
      <c r="I18" s="90" t="str">
        <f>VLOOKUP(G18,Nucleo_Pins_Altium!$I$2:$Y$144, 7, FALSE)</f>
        <v>+3V3</v>
      </c>
      <c r="J18" s="91" t="str">
        <f>VLOOKUP(G18,Nucleo_Pins_Altium!$I$2:$Y$144, 8, FALSE)</f>
        <v>+3V3</v>
      </c>
      <c r="M18" s="95">
        <v>15</v>
      </c>
      <c r="N18" s="98" t="str">
        <f>VLOOKUP(M18,Nucleo_Pins_Altium!$H$2:$Y$144, 13+CN11Odd, FALSE)</f>
        <v>SWCLK</v>
      </c>
      <c r="O18" s="90" t="str">
        <f>VLOOKUP(M18,Nucleo_Pins_Altium!$J$2:$Y$144, 6, FALSE)</f>
        <v>A</v>
      </c>
      <c r="P18" s="91">
        <f>VLOOKUP(M18,Nucleo_Pins_Altium!$J$2:$Y$144, 7, FALSE)</f>
        <v>7</v>
      </c>
      <c r="R18" s="95">
        <v>16</v>
      </c>
      <c r="S18" s="98" t="str">
        <f>VLOOKUP(R18,Nucleo_Pins_Altium!$K$2:$Y$144, 10+CN11Odd, FALSE)</f>
        <v>Not Connected</v>
      </c>
      <c r="T18" s="90" t="str">
        <f>VLOOKUP(R18,Nucleo_Pins_Altium!$K$2:$Y$144, 5, FALSE)</f>
        <v>B</v>
      </c>
      <c r="U18" s="91">
        <f>VLOOKUP(R18,Nucleo_Pins_Altium!$K$2:$Y$144, 6, FALSE)</f>
        <v>12</v>
      </c>
    </row>
    <row r="19" spans="2:21" ht="16.95" customHeight="1" x14ac:dyDescent="0.3">
      <c r="B19" s="95">
        <v>17</v>
      </c>
      <c r="C19" s="98" t="str">
        <f>VLOOKUP(B19,Nucleo_Pins_Altium!$H$2:$Y$144, 13+CN11Odd, FALSE)</f>
        <v>T2_CH1_ENC4_A</v>
      </c>
      <c r="D19" s="90" t="str">
        <f>VLOOKUP(B19,Nucleo_Pins_Altium!$H$2:$Y$144, 8, FALSE)</f>
        <v>A</v>
      </c>
      <c r="E19" s="91">
        <f>VLOOKUP(B19,Nucleo_Pins_Altium!$H$2:$Y$144, 9, FALSE)</f>
        <v>15</v>
      </c>
      <c r="G19" s="95">
        <v>18</v>
      </c>
      <c r="H19" s="98" t="str">
        <f>VLOOKUP(G19,Nucleo_Pins_Altium!$I$2:$Y$144, 12+CN11Odd, FALSE)</f>
        <v>5V output</v>
      </c>
      <c r="I19" s="90" t="str">
        <f>VLOOKUP(G19,Nucleo_Pins_Altium!$I$2:$Y$144, 7, FALSE)</f>
        <v>+5V</v>
      </c>
      <c r="J19" s="91" t="str">
        <f>VLOOKUP(G19,Nucleo_Pins_Altium!$I$2:$Y$144, 8, FALSE)</f>
        <v>+5V</v>
      </c>
      <c r="M19" s="95">
        <v>17</v>
      </c>
      <c r="N19" s="98" t="str">
        <f>VLOOKUP(M19,Nucleo_Pins_Altium!$H$2:$Y$144, 13+CN11Odd, FALSE)</f>
        <v>T2_CH1_ENC4_A</v>
      </c>
      <c r="O19" s="90" t="str">
        <f>VLOOKUP(M19,Nucleo_Pins_Altium!$J$2:$Y$144, 6, FALSE)</f>
        <v>B</v>
      </c>
      <c r="P19" s="91">
        <f>VLOOKUP(M19,Nucleo_Pins_Altium!$J$2:$Y$144, 7, FALSE)</f>
        <v>6</v>
      </c>
      <c r="R19" s="95">
        <v>18</v>
      </c>
      <c r="S19" s="98" t="str">
        <f>VLOOKUP(R19,Nucleo_Pins_Altium!$K$2:$Y$144, 10+CN11Odd, FALSE)</f>
        <v>INDEX_ENC1</v>
      </c>
      <c r="T19" s="90" t="str">
        <f>VLOOKUP(R19,Nucleo_Pins_Altium!$K$2:$Y$144, 5, FALSE)</f>
        <v>B</v>
      </c>
      <c r="U19" s="91">
        <f>VLOOKUP(R19,Nucleo_Pins_Altium!$K$2:$Y$144, 6, FALSE)</f>
        <v>11</v>
      </c>
    </row>
    <row r="20" spans="2:21" ht="16.95" customHeight="1" x14ac:dyDescent="0.3">
      <c r="B20" s="95">
        <v>21</v>
      </c>
      <c r="C20" s="98" t="str">
        <f>VLOOKUP(B20,Nucleo_Pins_Altium!$H$2:$Y$144, 13+CN11Odd, FALSE)</f>
        <v>T4_CH2_ENC2B (LED-BLUE)</v>
      </c>
      <c r="D20" s="90" t="str">
        <f>VLOOKUP(B20,Nucleo_Pins_Altium!$H$2:$Y$144, 8, FALSE)</f>
        <v>B</v>
      </c>
      <c r="E20" s="91">
        <f>VLOOKUP(B20,Nucleo_Pins_Altium!$H$2:$Y$144, 9, FALSE)</f>
        <v>7</v>
      </c>
      <c r="G20" s="95">
        <v>20</v>
      </c>
      <c r="H20" s="98" t="str">
        <f>VLOOKUP(G20,Nucleo_Pins_Altium!$I$2:$Y$144, 12+CN11Odd, FALSE)</f>
        <v>GND</v>
      </c>
      <c r="I20" s="90" t="str">
        <f>VLOOKUP(G20,Nucleo_Pins_Altium!$I$2:$Y$144, 7, FALSE)</f>
        <v>GND</v>
      </c>
      <c r="J20" s="91" t="str">
        <f>VLOOKUP(G20,Nucleo_Pins_Altium!$I$2:$Y$144, 8, FALSE)</f>
        <v>GND</v>
      </c>
      <c r="M20" s="95">
        <v>21</v>
      </c>
      <c r="N20" s="98" t="str">
        <f>VLOOKUP(M20,Nucleo_Pins_Altium!$H$2:$Y$144, 13+CN11Odd, FALSE)</f>
        <v>T4_CH2_ENC2B (LED-BLUE)</v>
      </c>
      <c r="O20" s="90" t="str">
        <f>VLOOKUP(M20,Nucleo_Pins_Altium!$J$2:$Y$144, 6, FALSE)</f>
        <v>A</v>
      </c>
      <c r="P20" s="91">
        <f>VLOOKUP(M20,Nucleo_Pins_Altium!$J$2:$Y$144, 7, FALSE)</f>
        <v>9</v>
      </c>
      <c r="R20" s="95">
        <v>20</v>
      </c>
      <c r="S20" s="98" t="str">
        <f>VLOOKUP(R20,Nucleo_Pins_Altium!$K$2:$Y$144, 10+CN11Odd, FALSE)</f>
        <v>GND</v>
      </c>
      <c r="T20" s="90" t="str">
        <f>VLOOKUP(R20,Nucleo_Pins_Altium!$K$2:$Y$144, 5, FALSE)</f>
        <v>GND</v>
      </c>
      <c r="U20" s="91" t="str">
        <f>VLOOKUP(R20,Nucleo_Pins_Altium!$K$2:$Y$144, 6, FALSE)</f>
        <v>GND</v>
      </c>
    </row>
    <row r="21" spans="2:21" ht="16.95" customHeight="1" x14ac:dyDescent="0.3">
      <c r="B21" s="95">
        <v>23</v>
      </c>
      <c r="C21" s="98" t="str">
        <f>VLOOKUP(B21,Nucleo_Pins_Altium!$H$2:$Y$144, 13+CN11Odd, FALSE)</f>
        <v xml:space="preserve">(BUTTON) (R) RTC OUT </v>
      </c>
      <c r="D21" s="90" t="str">
        <f>VLOOKUP(B21,Nucleo_Pins_Altium!$H$2:$Y$144, 8, FALSE)</f>
        <v>C</v>
      </c>
      <c r="E21" s="91">
        <f>VLOOKUP(B21,Nucleo_Pins_Altium!$H$2:$Y$144, 9, FALSE)</f>
        <v>13</v>
      </c>
      <c r="G21" s="95">
        <v>22</v>
      </c>
      <c r="H21" s="98" t="str">
        <f>VLOOKUP(G21,Nucleo_Pins_Altium!$I$2:$Y$144, 12+CN11Odd, FALSE)</f>
        <v>GND</v>
      </c>
      <c r="I21" s="90" t="str">
        <f>VLOOKUP(G21,Nucleo_Pins_Altium!$I$2:$Y$144, 7, FALSE)</f>
        <v>GND</v>
      </c>
      <c r="J21" s="91" t="str">
        <f>VLOOKUP(G21,Nucleo_Pins_Altium!$I$2:$Y$144, 8, FALSE)</f>
        <v>GND</v>
      </c>
      <c r="M21" s="95">
        <v>23</v>
      </c>
      <c r="N21" s="98" t="str">
        <f>VLOOKUP(M21,Nucleo_Pins_Altium!$H$2:$Y$144, 13+CN11Odd, FALSE)</f>
        <v xml:space="preserve">(BUTTON) (R) RTC OUT </v>
      </c>
      <c r="O21" s="90" t="str">
        <f>VLOOKUP(M21,Nucleo_Pins_Altium!$J$2:$Y$144, 6, FALSE)</f>
        <v>A</v>
      </c>
      <c r="P21" s="91">
        <f>VLOOKUP(M21,Nucleo_Pins_Altium!$J$2:$Y$144, 7, FALSE)</f>
        <v>8</v>
      </c>
      <c r="R21" s="95">
        <v>22</v>
      </c>
      <c r="S21" s="98" t="str">
        <f>VLOOKUP(R21,Nucleo_Pins_Altium!$K$2:$Y$144, 10+CN11Odd, FALSE)</f>
        <v>BOOT1 Pull Down</v>
      </c>
      <c r="T21" s="90" t="str">
        <f>VLOOKUP(R21,Nucleo_Pins_Altium!$K$2:$Y$144, 5, FALSE)</f>
        <v>B</v>
      </c>
      <c r="U21" s="91">
        <f>VLOOKUP(R21,Nucleo_Pins_Altium!$K$2:$Y$144, 6, FALSE)</f>
        <v>2</v>
      </c>
    </row>
    <row r="22" spans="2:21" ht="16.95" customHeight="1" x14ac:dyDescent="0.3">
      <c r="B22" s="95">
        <v>25</v>
      </c>
      <c r="C22" s="98" t="str">
        <f>VLOOKUP(B22,Nucleo_Pins_Altium!$H$2:$Y$144, 13+CN11Odd, FALSE)</f>
        <v>RTC CRYSTAL</v>
      </c>
      <c r="D22" s="90" t="str">
        <f>VLOOKUP(B22,Nucleo_Pins_Altium!$H$2:$Y$144, 8, FALSE)</f>
        <v>C</v>
      </c>
      <c r="E22" s="91">
        <f>VLOOKUP(B22,Nucleo_Pins_Altium!$H$2:$Y$144, 9, FALSE)</f>
        <v>14</v>
      </c>
      <c r="G22" s="95">
        <v>24</v>
      </c>
      <c r="H22" s="98" t="str">
        <f>VLOOKUP(G22,Nucleo_Pins_Altium!$I$2:$Y$144, 12+CN11Odd, FALSE)</f>
        <v>VIN</v>
      </c>
      <c r="I22" s="90" t="str">
        <f>VLOOKUP(G22,Nucleo_Pins_Altium!$I$2:$Y$144, 7, FALSE)</f>
        <v>VIN</v>
      </c>
      <c r="J22" s="91" t="str">
        <f>VLOOKUP(G22,Nucleo_Pins_Altium!$I$2:$Y$144, 8, FALSE)</f>
        <v>VIN</v>
      </c>
      <c r="M22" s="95">
        <v>25</v>
      </c>
      <c r="N22" s="98" t="str">
        <f>VLOOKUP(M22,Nucleo_Pins_Altium!$H$2:$Y$144, 13+CN11Odd, FALSE)</f>
        <v>RTC CRYSTAL</v>
      </c>
      <c r="O22" s="90" t="str">
        <f>VLOOKUP(M22,Nucleo_Pins_Altium!$J$2:$Y$144, 6, FALSE)</f>
        <v>B</v>
      </c>
      <c r="P22" s="91">
        <f>VLOOKUP(M22,Nucleo_Pins_Altium!$J$2:$Y$144, 7, FALSE)</f>
        <v>10</v>
      </c>
      <c r="R22" s="95">
        <v>24</v>
      </c>
      <c r="S22" s="98" t="str">
        <f>VLOOKUP(R22,Nucleo_Pins_Altium!$K$2:$Y$144, 10+CN11Odd, FALSE)</f>
        <v>Not Connected (ADC_AUX)</v>
      </c>
      <c r="T22" s="90" t="str">
        <f>VLOOKUP(R22,Nucleo_Pins_Altium!$K$2:$Y$144, 5, FALSE)</f>
        <v>B</v>
      </c>
      <c r="U22" s="91">
        <f>VLOOKUP(R22,Nucleo_Pins_Altium!$K$2:$Y$144, 6, FALSE)</f>
        <v>1</v>
      </c>
    </row>
    <row r="23" spans="2:21" ht="16.95" customHeight="1" x14ac:dyDescent="0.3">
      <c r="B23" s="95">
        <v>27</v>
      </c>
      <c r="C23" s="98" t="str">
        <f>VLOOKUP(B23,Nucleo_Pins_Altium!$H$2:$Y$144, 13+CN11Odd, FALSE)</f>
        <v>RTC CRYSTAL</v>
      </c>
      <c r="D23" s="90" t="str">
        <f>VLOOKUP(B23,Nucleo_Pins_Altium!$H$2:$Y$144, 8, FALSE)</f>
        <v>C</v>
      </c>
      <c r="E23" s="91">
        <f>VLOOKUP(B23,Nucleo_Pins_Altium!$H$2:$Y$144, 9, FALSE)</f>
        <v>15</v>
      </c>
      <c r="G23" s="95">
        <v>26</v>
      </c>
      <c r="H23" s="98">
        <f>VLOOKUP(G23,Nucleo_Pins_Altium!$I$2:$Y$144, 12+CN11Odd, FALSE)</f>
        <v>0</v>
      </c>
      <c r="I23" s="90" t="str">
        <f>VLOOKUP(G23,Nucleo_Pins_Altium!$I$2:$Y$144, 7, FALSE)</f>
        <v>-</v>
      </c>
      <c r="J23" s="91" t="str">
        <f>VLOOKUP(G23,Nucleo_Pins_Altium!$I$2:$Y$144, 8, FALSE)</f>
        <v>-</v>
      </c>
      <c r="M23" s="95">
        <v>27</v>
      </c>
      <c r="N23" s="98" t="str">
        <f>VLOOKUP(M23,Nucleo_Pins_Altium!$H$2:$Y$144, 13+CN11Odd, FALSE)</f>
        <v>RTC CRYSTAL</v>
      </c>
      <c r="O23" s="90" t="str">
        <f>VLOOKUP(M23,Nucleo_Pins_Altium!$J$2:$Y$144, 6, FALSE)</f>
        <v>B</v>
      </c>
      <c r="P23" s="91">
        <f>VLOOKUP(M23,Nucleo_Pins_Altium!$J$2:$Y$144, 7, FALSE)</f>
        <v>4</v>
      </c>
      <c r="R23" s="95">
        <v>26</v>
      </c>
      <c r="S23" s="98" t="str">
        <f>VLOOKUP(R23,Nucleo_Pins_Altium!$K$2:$Y$144, 10+CN11Odd, FALSE)</f>
        <v>Not Connected</v>
      </c>
      <c r="T23" s="90" t="str">
        <f>VLOOKUP(R23,Nucleo_Pins_Altium!$K$2:$Y$144, 5, FALSE)</f>
        <v>B</v>
      </c>
      <c r="U23" s="91">
        <f>VLOOKUP(R23,Nucleo_Pins_Altium!$K$2:$Y$144, 6, FALSE)</f>
        <v>15</v>
      </c>
    </row>
    <row r="24" spans="2:21" ht="16.95" customHeight="1" x14ac:dyDescent="0.3">
      <c r="B24" s="95">
        <v>29</v>
      </c>
      <c r="C24" s="98" t="str">
        <f>VLOOKUP(B24,Nucleo_Pins_Altium!$H$2:$Y$144, 13+CN11Odd, FALSE)</f>
        <v>Bypass</v>
      </c>
      <c r="D24" s="90" t="str">
        <f>VLOOKUP(B24,Nucleo_Pins_Altium!$H$2:$Y$144, 8, FALSE)</f>
        <v>H</v>
      </c>
      <c r="E24" s="91">
        <f>VLOOKUP(B24,Nucleo_Pins_Altium!$H$2:$Y$144, 9, FALSE)</f>
        <v>0</v>
      </c>
      <c r="G24" s="95">
        <v>28</v>
      </c>
      <c r="H24" s="98" t="str">
        <f>VLOOKUP(G24,Nucleo_Pins_Altium!$I$2:$Y$144, 12+CN11Odd, FALSE)</f>
        <v>ADC3_IN0_PS_Monitor</v>
      </c>
      <c r="I24" s="90" t="str">
        <f>VLOOKUP(G24,Nucleo_Pins_Altium!$I$2:$Y$144, 7, FALSE)</f>
        <v>A</v>
      </c>
      <c r="J24" s="91">
        <f>VLOOKUP(G24,Nucleo_Pins_Altium!$I$2:$Y$144, 8, FALSE)</f>
        <v>0</v>
      </c>
      <c r="M24" s="95">
        <v>29</v>
      </c>
      <c r="N24" s="98" t="str">
        <f>VLOOKUP(M24,Nucleo_Pins_Altium!$H$2:$Y$144, 13+CN11Odd, FALSE)</f>
        <v>Bypass</v>
      </c>
      <c r="O24" s="90" t="str">
        <f>VLOOKUP(M24,Nucleo_Pins_Altium!$J$2:$Y$144, 6, FALSE)</f>
        <v>B</v>
      </c>
      <c r="P24" s="91">
        <f>VLOOKUP(M24,Nucleo_Pins_Altium!$J$2:$Y$144, 7, FALSE)</f>
        <v>5</v>
      </c>
      <c r="R24" s="95">
        <v>28</v>
      </c>
      <c r="S24" s="98" t="str">
        <f>VLOOKUP(R24,Nucleo_Pins_Altium!$K$2:$Y$144, 10+CN11Odd, FALSE)</f>
        <v>Not Connected (LED-RED)</v>
      </c>
      <c r="T24" s="90" t="str">
        <f>VLOOKUP(R24,Nucleo_Pins_Altium!$K$2:$Y$144, 5, FALSE)</f>
        <v>B</v>
      </c>
      <c r="U24" s="91">
        <f>VLOOKUP(R24,Nucleo_Pins_Altium!$K$2:$Y$144, 6, FALSE)</f>
        <v>14</v>
      </c>
    </row>
    <row r="25" spans="2:21" ht="16.95" customHeight="1" x14ac:dyDescent="0.3">
      <c r="B25" s="95">
        <v>31</v>
      </c>
      <c r="C25" s="98" t="str">
        <f>VLOOKUP(B25,Nucleo_Pins_Altium!$H$2:$Y$144, 13+CN11Odd, FALSE)</f>
        <v>Bypass</v>
      </c>
      <c r="D25" s="90" t="str">
        <f>VLOOKUP(B25,Nucleo_Pins_Altium!$H$2:$Y$144, 8, FALSE)</f>
        <v>H</v>
      </c>
      <c r="E25" s="91">
        <f>VLOOKUP(B25,Nucleo_Pins_Altium!$H$2:$Y$144, 9, FALSE)</f>
        <v>1</v>
      </c>
      <c r="G25" s="95">
        <v>30</v>
      </c>
      <c r="H25" s="98" t="str">
        <f>VLOOKUP(G25,Nucleo_Pins_Altium!$I$2:$Y$144, 12+CN11Odd, FALSE)</f>
        <v>NOT AVAIL (ETH)</v>
      </c>
      <c r="I25" s="90" t="str">
        <f>VLOOKUP(G25,Nucleo_Pins_Altium!$I$2:$Y$144, 7, FALSE)</f>
        <v>A</v>
      </c>
      <c r="J25" s="91">
        <f>VLOOKUP(G25,Nucleo_Pins_Altium!$I$2:$Y$144, 8, FALSE)</f>
        <v>1</v>
      </c>
      <c r="M25" s="95">
        <v>31</v>
      </c>
      <c r="N25" s="98" t="str">
        <f>VLOOKUP(M25,Nucleo_Pins_Altium!$H$2:$Y$144, 13+CN11Odd, FALSE)</f>
        <v>Bypass</v>
      </c>
      <c r="O25" s="90" t="str">
        <f>VLOOKUP(M25,Nucleo_Pins_Altium!$J$2:$Y$144, 6, FALSE)</f>
        <v>B</v>
      </c>
      <c r="P25" s="91">
        <f>VLOOKUP(M25,Nucleo_Pins_Altium!$J$2:$Y$144, 7, FALSE)</f>
        <v>3</v>
      </c>
      <c r="R25" s="95">
        <v>30</v>
      </c>
      <c r="S25" s="98" t="str">
        <f>VLOOKUP(R25,Nucleo_Pins_Altium!$K$2:$Y$144, 10+CN11Odd, FALSE)</f>
        <v>NOT AVAIL (ETH)</v>
      </c>
      <c r="T25" s="90" t="str">
        <f>VLOOKUP(R25,Nucleo_Pins_Altium!$K$2:$Y$144, 5, FALSE)</f>
        <v>B</v>
      </c>
      <c r="U25" s="91">
        <f>VLOOKUP(R25,Nucleo_Pins_Altium!$K$2:$Y$144, 6, FALSE)</f>
        <v>13</v>
      </c>
    </row>
    <row r="26" spans="2:21" ht="16.95" customHeight="1" x14ac:dyDescent="0.3">
      <c r="B26" s="95">
        <v>33</v>
      </c>
      <c r="C26" s="98">
        <f>VLOOKUP(B26,Nucleo_Pins_Altium!$H$2:$Y$144, 13+CN11Odd, FALSE)</f>
        <v>0</v>
      </c>
      <c r="D26" s="90" t="str">
        <f>VLOOKUP(B26,Nucleo_Pins_Altium!$H$2:$Y$144, 8, FALSE)</f>
        <v>VBAT</v>
      </c>
      <c r="E26" s="91" t="str">
        <f>VLOOKUP(B26,Nucleo_Pins_Altium!$H$2:$Y$144, 9, FALSE)</f>
        <v>VBAT</v>
      </c>
      <c r="G26" s="95">
        <v>32</v>
      </c>
      <c r="H26" s="98" t="str">
        <f>VLOOKUP(G26,Nucleo_Pins_Altium!$I$2:$Y$144, 12+CN11Odd, FALSE)</f>
        <v>PA4_GPIOOUT_EN HES_Regulator Shdn_CS (Default Out=0)</v>
      </c>
      <c r="I26" s="90" t="str">
        <f>VLOOKUP(G26,Nucleo_Pins_Altium!$I$2:$Y$144, 7, FALSE)</f>
        <v>A</v>
      </c>
      <c r="J26" s="91">
        <f>VLOOKUP(G26,Nucleo_Pins_Altium!$I$2:$Y$144, 8, FALSE)</f>
        <v>4</v>
      </c>
      <c r="M26" s="95">
        <v>33</v>
      </c>
      <c r="N26" s="98">
        <f>VLOOKUP(M26,Nucleo_Pins_Altium!$H$2:$Y$144, 13+CN11Odd, FALSE)</f>
        <v>0</v>
      </c>
      <c r="O26" s="90" t="str">
        <f>VLOOKUP(M26,Nucleo_Pins_Altium!$J$2:$Y$144, 6, FALSE)</f>
        <v>A</v>
      </c>
      <c r="P26" s="91">
        <f>VLOOKUP(M26,Nucleo_Pins_Altium!$J$2:$Y$144, 7, FALSE)</f>
        <v>10</v>
      </c>
      <c r="R26" s="95">
        <v>32</v>
      </c>
      <c r="S26" s="98" t="str">
        <f>VLOOKUP(R26,Nucleo_Pins_Altium!$K$2:$Y$144, 10+CN11Odd, FALSE)</f>
        <v>AGND</v>
      </c>
      <c r="T26" s="90" t="str">
        <f>VLOOKUP(R26,Nucleo_Pins_Altium!$K$2:$Y$144, 5, FALSE)</f>
        <v>AGND</v>
      </c>
      <c r="U26" s="91" t="str">
        <f>VLOOKUP(R26,Nucleo_Pins_Altium!$K$2:$Y$144, 6, FALSE)</f>
        <v>AGND</v>
      </c>
    </row>
    <row r="27" spans="2:21" ht="16.95" customHeight="1" x14ac:dyDescent="0.3">
      <c r="B27" s="95">
        <v>35</v>
      </c>
      <c r="C27" s="98" t="str">
        <f>VLOOKUP(B27,Nucleo_Pins_Altium!$H$2:$Y$144, 13+CN11Odd, FALSE)</f>
        <v>ADC3_CS_M2 (VNH 5019)</v>
      </c>
      <c r="D27" s="90" t="str">
        <f>VLOOKUP(B27,Nucleo_Pins_Altium!$H$2:$Y$144, 8, FALSE)</f>
        <v>C</v>
      </c>
      <c r="E27" s="91">
        <f>VLOOKUP(B27,Nucleo_Pins_Altium!$H$2:$Y$144, 9, FALSE)</f>
        <v>2</v>
      </c>
      <c r="G27" s="95">
        <v>34</v>
      </c>
      <c r="H27" s="98" t="str">
        <f>VLOOKUP(G27,Nucleo_Pins_Altium!$I$2:$Y$144, 12+CN11Odd, FALSE)</f>
        <v xml:space="preserve"> Not Connected (ADC_AUX) (Nucleo LED-GREEN) </v>
      </c>
      <c r="I27" s="90" t="str">
        <f>VLOOKUP(G27,Nucleo_Pins_Altium!$I$2:$Y$144, 7, FALSE)</f>
        <v>B</v>
      </c>
      <c r="J27" s="91">
        <f>VLOOKUP(G27,Nucleo_Pins_Altium!$I$2:$Y$144, 8, FALSE)</f>
        <v>0</v>
      </c>
      <c r="M27" s="95">
        <v>35</v>
      </c>
      <c r="N27" s="98" t="str">
        <f>VLOOKUP(M27,Nucleo_Pins_Altium!$H$2:$Y$144, 13+CN11Odd, FALSE)</f>
        <v>ADC3_CS_M2 (VNH 5019)</v>
      </c>
      <c r="O27" s="90" t="str">
        <f>VLOOKUP(M27,Nucleo_Pins_Altium!$J$2:$Y$144, 6, FALSE)</f>
        <v>A</v>
      </c>
      <c r="P27" s="91">
        <f>VLOOKUP(M27,Nucleo_Pins_Altium!$J$2:$Y$144, 7, FALSE)</f>
        <v>2</v>
      </c>
      <c r="R27" s="95">
        <v>34</v>
      </c>
      <c r="S27" s="98" t="str">
        <f>VLOOKUP(R27,Nucleo_Pins_Altium!$K$2:$Y$144, 10+CN11Odd, FALSE)</f>
        <v>NOT AVAIL (ETH)</v>
      </c>
      <c r="T27" s="90" t="str">
        <f>VLOOKUP(R27,Nucleo_Pins_Altium!$K$2:$Y$144, 5, FALSE)</f>
        <v>C</v>
      </c>
      <c r="U27" s="91">
        <f>VLOOKUP(R27,Nucleo_Pins_Altium!$K$2:$Y$144, 6, FALSE)</f>
        <v>4</v>
      </c>
    </row>
    <row r="28" spans="2:21" ht="16.95" customHeight="1" x14ac:dyDescent="0.3">
      <c r="B28" s="95">
        <v>37</v>
      </c>
      <c r="C28" s="98" t="str">
        <f>VLOOKUP(B28,Nucleo_Pins_Altium!$H$2:$Y$144, 13+CN11Odd, FALSE)</f>
        <v>ADC3_CS_M3 (VNH5019)</v>
      </c>
      <c r="D28" s="90" t="str">
        <f>VLOOKUP(B28,Nucleo_Pins_Altium!$H$2:$Y$144, 8, FALSE)</f>
        <v>C</v>
      </c>
      <c r="E28" s="91">
        <f>VLOOKUP(B28,Nucleo_Pins_Altium!$H$2:$Y$144, 9, FALSE)</f>
        <v>3</v>
      </c>
      <c r="G28" s="95">
        <v>36</v>
      </c>
      <c r="H28" s="98" t="str">
        <f>VLOOKUP(G28,Nucleo_Pins_Altium!$I$2:$Y$144, 12+CN11Odd, FALSE)</f>
        <v>NOT AVAIL (ETH)</v>
      </c>
      <c r="I28" s="90" t="str">
        <f>VLOOKUP(G28,Nucleo_Pins_Altium!$I$2:$Y$144, 7, FALSE)</f>
        <v>C</v>
      </c>
      <c r="J28" s="91">
        <f>VLOOKUP(G28,Nucleo_Pins_Altium!$I$2:$Y$144, 8, FALSE)</f>
        <v>1</v>
      </c>
      <c r="M28" s="95">
        <v>37</v>
      </c>
      <c r="N28" s="98" t="str">
        <f>VLOOKUP(M28,Nucleo_Pins_Altium!$H$2:$Y$144, 13+CN11Odd, FALSE)</f>
        <v>ADC3_CS_M3 (VNH5019)</v>
      </c>
      <c r="O28" s="90" t="str">
        <f>VLOOKUP(M28,Nucleo_Pins_Altium!$J$2:$Y$144, 6, FALSE)</f>
        <v>A</v>
      </c>
      <c r="P28" s="91">
        <f>VLOOKUP(M28,Nucleo_Pins_Altium!$J$2:$Y$144, 7, FALSE)</f>
        <v>3</v>
      </c>
      <c r="R28" s="95">
        <v>36</v>
      </c>
      <c r="S28" s="98" t="str">
        <f>VLOOKUP(R28,Nucleo_Pins_Altium!$K$2:$Y$144, 10+CN11Odd, FALSE)</f>
        <v>INDEX_ENC2</v>
      </c>
      <c r="T28" s="90" t="str">
        <f>VLOOKUP(R28,Nucleo_Pins_Altium!$K$2:$Y$144, 5, FALSE)</f>
        <v>F</v>
      </c>
      <c r="U28" s="91">
        <f>VLOOKUP(R28,Nucleo_Pins_Altium!$K$2:$Y$144, 6, FALSE)</f>
        <v>5</v>
      </c>
    </row>
    <row r="29" spans="2:21" ht="16.95" customHeight="1" x14ac:dyDescent="0.3">
      <c r="B29" s="95">
        <v>39</v>
      </c>
      <c r="C29" s="98" t="str">
        <f>VLOOKUP(B29,Nucleo_Pins_Altium!$H$2:$Y$144, 13+CN11Odd, FALSE)</f>
        <v>MCU/SD_WP</v>
      </c>
      <c r="D29" s="90" t="str">
        <f>VLOOKUP(B29,Nucleo_Pins_Altium!$H$2:$Y$144, 8, FALSE)</f>
        <v>D</v>
      </c>
      <c r="E29" s="91">
        <f>VLOOKUP(B29,Nucleo_Pins_Altium!$H$2:$Y$144, 9, FALSE)</f>
        <v>4</v>
      </c>
      <c r="G29" s="95">
        <v>38</v>
      </c>
      <c r="H29" s="98" t="str">
        <f>VLOOKUP(G29,Nucleo_Pins_Altium!$I$2:$Y$144, 12+CN11Odd, FALSE)</f>
        <v>Not Connected (ADC_AUX)</v>
      </c>
      <c r="I29" s="90" t="str">
        <f>VLOOKUP(G29,Nucleo_Pins_Altium!$I$2:$Y$144, 7, FALSE)</f>
        <v>C</v>
      </c>
      <c r="J29" s="91">
        <f>VLOOKUP(G29,Nucleo_Pins_Altium!$I$2:$Y$144, 8, FALSE)</f>
        <v>0</v>
      </c>
      <c r="M29" s="95">
        <v>39</v>
      </c>
      <c r="N29" s="98" t="str">
        <f>VLOOKUP(M29,Nucleo_Pins_Altium!$H$2:$Y$144, 13+CN11Odd, FALSE)</f>
        <v>MCU/SD_WP</v>
      </c>
      <c r="O29" s="90" t="str">
        <f>VLOOKUP(M29,Nucleo_Pins_Altium!$J$2:$Y$144, 6, FALSE)</f>
        <v>GND</v>
      </c>
      <c r="P29" s="91" t="str">
        <f>VLOOKUP(M29,Nucleo_Pins_Altium!$J$2:$Y$144, 7, FALSE)</f>
        <v>GND</v>
      </c>
      <c r="R29" s="95">
        <v>38</v>
      </c>
      <c r="S29" s="98" t="str">
        <f>VLOOKUP(R29,Nucleo_Pins_Altium!$K$2:$Y$144, 10+CN11Odd, FALSE)</f>
        <v>DIG_IN5</v>
      </c>
      <c r="T29" s="90" t="str">
        <f>VLOOKUP(R29,Nucleo_Pins_Altium!$K$2:$Y$144, 5, FALSE)</f>
        <v>F</v>
      </c>
      <c r="U29" s="91">
        <f>VLOOKUP(R29,Nucleo_Pins_Altium!$K$2:$Y$144, 6, FALSE)</f>
        <v>4</v>
      </c>
    </row>
    <row r="30" spans="2:21" ht="16.95" customHeight="1" x14ac:dyDescent="0.3">
      <c r="B30" s="95">
        <v>41</v>
      </c>
      <c r="C30" s="98" t="str">
        <f>VLOOKUP(B30,Nucleo_Pins_Altium!$H$2:$Y$144, 13+CN11Odd, FALSE)</f>
        <v>TX2_AUX</v>
      </c>
      <c r="D30" s="90" t="str">
        <f>VLOOKUP(B30,Nucleo_Pins_Altium!$H$2:$Y$144, 8, FALSE)</f>
        <v>D</v>
      </c>
      <c r="E30" s="91">
        <f>VLOOKUP(B30,Nucleo_Pins_Altium!$H$2:$Y$144, 9, FALSE)</f>
        <v>5</v>
      </c>
      <c r="G30" s="95">
        <v>40</v>
      </c>
      <c r="H30" s="98" t="str">
        <f>VLOOKUP(G30,Nucleo_Pins_Altium!$I$2:$Y$144, 12+CN11Odd, FALSE)</f>
        <v>MCU/SD_CD</v>
      </c>
      <c r="I30" s="90" t="str">
        <f>VLOOKUP(G30,Nucleo_Pins_Altium!$I$2:$Y$144, 7, FALSE)</f>
        <v>D</v>
      </c>
      <c r="J30" s="91">
        <f>VLOOKUP(G30,Nucleo_Pins_Altium!$I$2:$Y$144, 8, FALSE)</f>
        <v>3</v>
      </c>
      <c r="M30" s="95">
        <v>41</v>
      </c>
      <c r="N30" s="98" t="str">
        <f>VLOOKUP(M30,Nucleo_Pins_Altium!$H$2:$Y$144, 13+CN11Odd, FALSE)</f>
        <v>TX2_AUX</v>
      </c>
      <c r="O30" s="90" t="str">
        <f>VLOOKUP(M30,Nucleo_Pins_Altium!$J$2:$Y$144, 6, FALSE)</f>
        <v>D</v>
      </c>
      <c r="P30" s="91">
        <f>VLOOKUP(M30,Nucleo_Pins_Altium!$J$2:$Y$144, 7, FALSE)</f>
        <v>13</v>
      </c>
      <c r="R30" s="95">
        <v>40</v>
      </c>
      <c r="S30" s="98" t="str">
        <f>VLOOKUP(R30,Nucleo_Pins_Altium!$K$2:$Y$144, 10+CN11Odd, FALSE)</f>
        <v>A_PWM1N/OUT</v>
      </c>
      <c r="T30" s="90" t="str">
        <f>VLOOKUP(R30,Nucleo_Pins_Altium!$K$2:$Y$144, 5, FALSE)</f>
        <v>E</v>
      </c>
      <c r="U30" s="91">
        <f>VLOOKUP(R30,Nucleo_Pins_Altium!$K$2:$Y$144, 6, FALSE)</f>
        <v>8</v>
      </c>
    </row>
    <row r="31" spans="2:21" ht="16.95" customHeight="1" x14ac:dyDescent="0.3">
      <c r="B31" s="95">
        <v>43</v>
      </c>
      <c r="C31" s="98" t="str">
        <f>VLOOKUP(B31,Nucleo_Pins_Altium!$H$2:$Y$144, 13+CN11Odd, FALSE)</f>
        <v>RX2_AUX</v>
      </c>
      <c r="D31" s="90" t="str">
        <f>VLOOKUP(B31,Nucleo_Pins_Altium!$H$2:$Y$144, 8, FALSE)</f>
        <v>D</v>
      </c>
      <c r="E31" s="91">
        <f>VLOOKUP(B31,Nucleo_Pins_Altium!$H$2:$Y$144, 9, FALSE)</f>
        <v>6</v>
      </c>
      <c r="G31" s="95">
        <v>42</v>
      </c>
      <c r="H31" s="98" t="str">
        <f>VLOOKUP(G31,Nucleo_Pins_Altium!$I$2:$Y$144, 12+CN11Odd, FALSE)</f>
        <v>INA_M1</v>
      </c>
      <c r="I31" s="90" t="str">
        <f>VLOOKUP(G31,Nucleo_Pins_Altium!$I$2:$Y$144, 7, FALSE)</f>
        <v>G</v>
      </c>
      <c r="J31" s="91">
        <f>VLOOKUP(G31,Nucleo_Pins_Altium!$I$2:$Y$144, 8, FALSE)</f>
        <v>2</v>
      </c>
      <c r="M31" s="95">
        <v>43</v>
      </c>
      <c r="N31" s="98" t="str">
        <f>VLOOKUP(M31,Nucleo_Pins_Altium!$H$2:$Y$144, 13+CN11Odd, FALSE)</f>
        <v>RX2_AUX</v>
      </c>
      <c r="O31" s="90" t="str">
        <f>VLOOKUP(M31,Nucleo_Pins_Altium!$J$2:$Y$144, 6, FALSE)</f>
        <v>D</v>
      </c>
      <c r="P31" s="91">
        <f>VLOOKUP(M31,Nucleo_Pins_Altium!$J$2:$Y$144, 7, FALSE)</f>
        <v>12</v>
      </c>
      <c r="R31" s="95">
        <v>42</v>
      </c>
      <c r="S31" s="98" t="str">
        <f>VLOOKUP(R31,Nucleo_Pins_Altium!$K$2:$Y$144, 10+CN11Odd, FALSE)</f>
        <v>DIG_IN4</v>
      </c>
      <c r="T31" s="90" t="str">
        <f>VLOOKUP(R31,Nucleo_Pins_Altium!$K$2:$Y$144, 5, FALSE)</f>
        <v>F</v>
      </c>
      <c r="U31" s="91">
        <f>VLOOKUP(R31,Nucleo_Pins_Altium!$K$2:$Y$144, 6, FALSE)</f>
        <v>10</v>
      </c>
    </row>
    <row r="32" spans="2:21" ht="16.95" customHeight="1" x14ac:dyDescent="0.3">
      <c r="B32" s="95">
        <v>45</v>
      </c>
      <c r="C32" s="98" t="str">
        <f>VLOOKUP(B32,Nucleo_Pins_Altium!$H$2:$Y$144, 13+CN11Odd, FALSE)</f>
        <v>Not Connected</v>
      </c>
      <c r="D32" s="90" t="str">
        <f>VLOOKUP(B32,Nucleo_Pins_Altium!$H$2:$Y$144, 8, FALSE)</f>
        <v>D</v>
      </c>
      <c r="E32" s="91">
        <f>VLOOKUP(B32,Nucleo_Pins_Altium!$H$2:$Y$144, 9, FALSE)</f>
        <v>7</v>
      </c>
      <c r="G32" s="95">
        <v>44</v>
      </c>
      <c r="H32" s="98" t="str">
        <f>VLOOKUP(G32,Nucleo_Pins_Altium!$I$2:$Y$144, 12+CN11Odd, FALSE)</f>
        <v>INB_M1</v>
      </c>
      <c r="I32" s="90" t="str">
        <f>VLOOKUP(G32,Nucleo_Pins_Altium!$I$2:$Y$144, 7, FALSE)</f>
        <v>G</v>
      </c>
      <c r="J32" s="91">
        <f>VLOOKUP(G32,Nucleo_Pins_Altium!$I$2:$Y$144, 8, FALSE)</f>
        <v>3</v>
      </c>
      <c r="M32" s="95">
        <v>45</v>
      </c>
      <c r="N32" s="98" t="str">
        <f>VLOOKUP(M32,Nucleo_Pins_Altium!$H$2:$Y$144, 13+CN11Odd, FALSE)</f>
        <v>Not Connected</v>
      </c>
      <c r="O32" s="90" t="str">
        <f>VLOOKUP(M32,Nucleo_Pins_Altium!$J$2:$Y$144, 6, FALSE)</f>
        <v>D</v>
      </c>
      <c r="P32" s="91">
        <f>VLOOKUP(M32,Nucleo_Pins_Altium!$J$2:$Y$144, 7, FALSE)</f>
        <v>11</v>
      </c>
      <c r="R32" s="95">
        <v>44</v>
      </c>
      <c r="S32" s="98" t="str">
        <f>VLOOKUP(R32,Nucleo_Pins_Altium!$K$2:$Y$144, 10+CN11Odd, FALSE)</f>
        <v>DIG_OUT3</v>
      </c>
      <c r="T32" s="90" t="str">
        <f>VLOOKUP(R32,Nucleo_Pins_Altium!$K$2:$Y$144, 5, FALSE)</f>
        <v>E</v>
      </c>
      <c r="U32" s="91">
        <f>VLOOKUP(R32,Nucleo_Pins_Altium!$K$2:$Y$144, 6, FALSE)</f>
        <v>7</v>
      </c>
    </row>
    <row r="33" spans="2:21" ht="16.95" customHeight="1" x14ac:dyDescent="0.3">
      <c r="B33" s="95">
        <v>47</v>
      </c>
      <c r="C33" s="98" t="str">
        <f>VLOOKUP(B33,Nucleo_Pins_Altium!$H$2:$Y$144, 13+CN11Odd, FALSE)</f>
        <v>Not Connected</v>
      </c>
      <c r="D33" s="90" t="str">
        <f>VLOOKUP(B33,Nucleo_Pins_Altium!$H$2:$Y$144, 8, FALSE)</f>
        <v>E</v>
      </c>
      <c r="E33" s="91">
        <f>VLOOKUP(B33,Nucleo_Pins_Altium!$H$2:$Y$144, 9, FALSE)</f>
        <v>3</v>
      </c>
      <c r="G33" s="95">
        <v>46</v>
      </c>
      <c r="H33" s="98" t="str">
        <f>VLOOKUP(G33,Nucleo_Pins_Altium!$I$2:$Y$144, 12+CN11Odd, FALSE)</f>
        <v>INDEX_ENC3</v>
      </c>
      <c r="I33" s="90" t="str">
        <f>VLOOKUP(G33,Nucleo_Pins_Altium!$I$2:$Y$144, 7, FALSE)</f>
        <v>E</v>
      </c>
      <c r="J33" s="91">
        <f>VLOOKUP(G33,Nucleo_Pins_Altium!$I$2:$Y$144, 8, FALSE)</f>
        <v>2</v>
      </c>
      <c r="M33" s="95">
        <v>47</v>
      </c>
      <c r="N33" s="98" t="str">
        <f>VLOOKUP(M33,Nucleo_Pins_Altium!$H$2:$Y$144, 13+CN11Odd, FALSE)</f>
        <v>Not Connected</v>
      </c>
      <c r="O33" s="90" t="str">
        <f>VLOOKUP(M33,Nucleo_Pins_Altium!$J$2:$Y$144, 6, FALSE)</f>
        <v>E</v>
      </c>
      <c r="P33" s="91">
        <f>VLOOKUP(M33,Nucleo_Pins_Altium!$J$2:$Y$144, 7, FALSE)</f>
        <v>10</v>
      </c>
      <c r="R33" s="95">
        <v>46</v>
      </c>
      <c r="S33" s="98" t="str">
        <f>VLOOKUP(R33,Nucleo_Pins_Altium!$K$2:$Y$144, 10+CN11Odd, FALSE)</f>
        <v>DIG_OUT4</v>
      </c>
      <c r="T33" s="90" t="str">
        <f>VLOOKUP(R33,Nucleo_Pins_Altium!$K$2:$Y$144, 5, FALSE)</f>
        <v>D</v>
      </c>
      <c r="U33" s="91">
        <f>VLOOKUP(R33,Nucleo_Pins_Altium!$K$2:$Y$144, 6, FALSE)</f>
        <v>14</v>
      </c>
    </row>
    <row r="34" spans="2:21" ht="16.95" customHeight="1" x14ac:dyDescent="0.3">
      <c r="B34" s="95">
        <v>49</v>
      </c>
      <c r="C34" s="98" t="str">
        <f>VLOOKUP(B34,Nucleo_Pins_Altium!$H$2:$Y$144, 13+CN11Odd, FALSE)</f>
        <v>-</v>
      </c>
      <c r="D34" s="90" t="str">
        <f>VLOOKUP(B34,Nucleo_Pins_Altium!$H$2:$Y$144, 8, FALSE)</f>
        <v>GND</v>
      </c>
      <c r="E34" s="91" t="str">
        <f>VLOOKUP(B34,Nucleo_Pins_Altium!$H$2:$Y$144, 9, FALSE)</f>
        <v>GND</v>
      </c>
      <c r="G34" s="95">
        <v>48</v>
      </c>
      <c r="H34" s="98" t="str">
        <f>VLOOKUP(G34,Nucleo_Pins_Altium!$I$2:$Y$144, 12+CN11Odd, FALSE)</f>
        <v>Not Connected</v>
      </c>
      <c r="I34" s="90" t="str">
        <f>VLOOKUP(G34,Nucleo_Pins_Altium!$I$2:$Y$144, 7, FALSE)</f>
        <v>E</v>
      </c>
      <c r="J34" s="91">
        <f>VLOOKUP(G34,Nucleo_Pins_Altium!$I$2:$Y$144, 8, FALSE)</f>
        <v>4</v>
      </c>
      <c r="M34" s="95">
        <v>49</v>
      </c>
      <c r="N34" s="98" t="str">
        <f>VLOOKUP(M34,Nucleo_Pins_Altium!$H$2:$Y$144, 13+CN11Odd, FALSE)</f>
        <v>-</v>
      </c>
      <c r="O34" s="90" t="str">
        <f>VLOOKUP(M34,Nucleo_Pins_Altium!$J$2:$Y$144, 6, FALSE)</f>
        <v>E</v>
      </c>
      <c r="P34" s="91">
        <f>VLOOKUP(M34,Nucleo_Pins_Altium!$J$2:$Y$144, 7, FALSE)</f>
        <v>12</v>
      </c>
      <c r="R34" s="95">
        <v>48</v>
      </c>
      <c r="S34" s="98" t="str">
        <f>VLOOKUP(R34,Nucleo_Pins_Altium!$K$2:$Y$144, 10+CN11Odd, FALSE)</f>
        <v>DIG_OUT5</v>
      </c>
      <c r="T34" s="90" t="str">
        <f>VLOOKUP(R34,Nucleo_Pins_Altium!$K$2:$Y$144, 5, FALSE)</f>
        <v>D</v>
      </c>
      <c r="U34" s="91">
        <f>VLOOKUP(R34,Nucleo_Pins_Altium!$K$2:$Y$144, 6, FALSE)</f>
        <v>15</v>
      </c>
    </row>
    <row r="35" spans="2:21" ht="16.95" customHeight="1" x14ac:dyDescent="0.3">
      <c r="B35" s="95">
        <v>51</v>
      </c>
      <c r="C35" s="98" t="str">
        <f>VLOOKUP(B35,Nucleo_Pins_Altium!$H$2:$Y$144, 13+CN11Odd, FALSE)</f>
        <v>IMU_SCL</v>
      </c>
      <c r="D35" s="90" t="str">
        <f>VLOOKUP(B35,Nucleo_Pins_Altium!$H$2:$Y$144, 8, FALSE)</f>
        <v>F</v>
      </c>
      <c r="E35" s="91">
        <f>VLOOKUP(B35,Nucleo_Pins_Altium!$H$2:$Y$144, 9, FALSE)</f>
        <v>1</v>
      </c>
      <c r="G35" s="95">
        <v>50</v>
      </c>
      <c r="H35" s="98" t="str">
        <f>VLOOKUP(G35,Nucleo_Pins_Altium!$I$2:$Y$144, 12+CN11Odd, FALSE)</f>
        <v>Not Connected</v>
      </c>
      <c r="I35" s="90" t="str">
        <f>VLOOKUP(G35,Nucleo_Pins_Altium!$I$2:$Y$144, 7, FALSE)</f>
        <v>E</v>
      </c>
      <c r="J35" s="91">
        <f>VLOOKUP(G35,Nucleo_Pins_Altium!$I$2:$Y$144, 8, FALSE)</f>
        <v>5</v>
      </c>
      <c r="M35" s="95">
        <v>51</v>
      </c>
      <c r="N35" s="98" t="str">
        <f>VLOOKUP(M35,Nucleo_Pins_Altium!$H$2:$Y$144, 13+CN11Odd, FALSE)</f>
        <v>IMU_SCL</v>
      </c>
      <c r="O35" s="90" t="str">
        <f>VLOOKUP(M35,Nucleo_Pins_Altium!$J$2:$Y$144, 6, FALSE)</f>
        <v>E</v>
      </c>
      <c r="P35" s="91">
        <f>VLOOKUP(M35,Nucleo_Pins_Altium!$J$2:$Y$144, 7, FALSE)</f>
        <v>14</v>
      </c>
      <c r="R35" s="95">
        <v>50</v>
      </c>
      <c r="S35" s="98" t="str">
        <f>VLOOKUP(R35,Nucleo_Pins_Altium!$K$2:$Y$144, 10+CN11Odd, FALSE)</f>
        <v>ENA_M2</v>
      </c>
      <c r="T35" s="90" t="str">
        <f>VLOOKUP(R35,Nucleo_Pins_Altium!$K$2:$Y$144, 5, FALSE)</f>
        <v>F</v>
      </c>
      <c r="U35" s="91">
        <f>VLOOKUP(R35,Nucleo_Pins_Altium!$K$2:$Y$144, 6, FALSE)</f>
        <v>14</v>
      </c>
    </row>
    <row r="36" spans="2:21" ht="16.95" customHeight="1" x14ac:dyDescent="0.3">
      <c r="B36" s="95">
        <v>53</v>
      </c>
      <c r="C36" s="98" t="str">
        <f>VLOOKUP(B36,Nucleo_Pins_Altium!$H$2:$Y$144, 13+CN11Odd, FALSE)</f>
        <v>IMU_SDA</v>
      </c>
      <c r="D36" s="90" t="str">
        <f>VLOOKUP(B36,Nucleo_Pins_Altium!$H$2:$Y$144, 8, FALSE)</f>
        <v>F</v>
      </c>
      <c r="E36" s="91">
        <f>VLOOKUP(B36,Nucleo_Pins_Altium!$H$2:$Y$144, 9, FALSE)</f>
        <v>0</v>
      </c>
      <c r="G36" s="95">
        <v>52</v>
      </c>
      <c r="H36" s="98" t="str">
        <f>VLOOKUP(G36,Nucleo_Pins_Altium!$I$2:$Y$144, 12+CN11Odd, FALSE)</f>
        <v>Not Connected</v>
      </c>
      <c r="I36" s="90" t="str">
        <f>VLOOKUP(G36,Nucleo_Pins_Altium!$I$2:$Y$144, 7, FALSE)</f>
        <v>F</v>
      </c>
      <c r="J36" s="91">
        <f>VLOOKUP(G36,Nucleo_Pins_Altium!$I$2:$Y$144, 8, FALSE)</f>
        <v>2</v>
      </c>
      <c r="M36" s="95">
        <v>53</v>
      </c>
      <c r="N36" s="98" t="str">
        <f>VLOOKUP(M36,Nucleo_Pins_Altium!$H$2:$Y$144, 13+CN11Odd, FALSE)</f>
        <v>IMU_SDA</v>
      </c>
      <c r="O36" s="90" t="str">
        <f>VLOOKUP(M36,Nucleo_Pins_Altium!$J$2:$Y$144, 6, FALSE)</f>
        <v>E</v>
      </c>
      <c r="P36" s="91">
        <f>VLOOKUP(M36,Nucleo_Pins_Altium!$J$2:$Y$144, 7, FALSE)</f>
        <v>15</v>
      </c>
      <c r="R36" s="95">
        <v>52</v>
      </c>
      <c r="S36" s="98" t="str">
        <f>VLOOKUP(R36,Nucleo_Pins_Altium!$K$2:$Y$144, 10+CN11Odd, FALSE)</f>
        <v>PWM_M1</v>
      </c>
      <c r="T36" s="90" t="str">
        <f>VLOOKUP(R36,Nucleo_Pins_Altium!$K$2:$Y$144, 5, FALSE)</f>
        <v>E</v>
      </c>
      <c r="U36" s="91">
        <f>VLOOKUP(R36,Nucleo_Pins_Altium!$K$2:$Y$144, 6, FALSE)</f>
        <v>9</v>
      </c>
    </row>
    <row r="37" spans="2:21" ht="16.95" customHeight="1" x14ac:dyDescent="0.3">
      <c r="B37" s="95">
        <v>55</v>
      </c>
      <c r="C37" s="98" t="str">
        <f>VLOOKUP(B37,Nucleo_Pins_Altium!$H$2:$Y$144, 13+CN11Odd, FALSE)</f>
        <v>CAN1_TX</v>
      </c>
      <c r="D37" s="90" t="str">
        <f>VLOOKUP(B37,Nucleo_Pins_Altium!$H$2:$Y$144, 8, FALSE)</f>
        <v>D</v>
      </c>
      <c r="E37" s="91">
        <f>VLOOKUP(B37,Nucleo_Pins_Altium!$H$2:$Y$144, 9, FALSE)</f>
        <v>1</v>
      </c>
      <c r="G37" s="95">
        <v>54</v>
      </c>
      <c r="H37" s="98" t="str">
        <f>VLOOKUP(G37,Nucleo_Pins_Altium!$I$2:$Y$144, 12+CN11Odd, FALSE)</f>
        <v>DIG_IN2</v>
      </c>
      <c r="I37" s="90" t="str">
        <f>VLOOKUP(G37,Nucleo_Pins_Altium!$I$2:$Y$144, 7, FALSE)</f>
        <v>F</v>
      </c>
      <c r="J37" s="91">
        <f>VLOOKUP(G37,Nucleo_Pins_Altium!$I$2:$Y$144, 8, FALSE)</f>
        <v>8</v>
      </c>
      <c r="M37" s="95">
        <v>55</v>
      </c>
      <c r="N37" s="98" t="str">
        <f>VLOOKUP(M37,Nucleo_Pins_Altium!$H$2:$Y$144, 13+CN11Odd, FALSE)</f>
        <v>CAN1_TX</v>
      </c>
      <c r="O37" s="90" t="str">
        <f>VLOOKUP(M37,Nucleo_Pins_Altium!$J$2:$Y$144, 6, FALSE)</f>
        <v>E</v>
      </c>
      <c r="P37" s="91">
        <f>VLOOKUP(M37,Nucleo_Pins_Altium!$J$2:$Y$144, 7, FALSE)</f>
        <v>13</v>
      </c>
      <c r="R37" s="95">
        <v>54</v>
      </c>
      <c r="S37" s="98">
        <f>VLOOKUP(R37,Nucleo_Pins_Altium!$K$2:$Y$144, 10+CN11Odd, FALSE)</f>
        <v>0</v>
      </c>
      <c r="T37" s="90" t="str">
        <f>VLOOKUP(R37,Nucleo_Pins_Altium!$K$2:$Y$144, 5, FALSE)</f>
        <v>GND</v>
      </c>
      <c r="U37" s="91" t="str">
        <f>VLOOKUP(R37,Nucleo_Pins_Altium!$K$2:$Y$144, 6, FALSE)</f>
        <v>GND</v>
      </c>
    </row>
    <row r="38" spans="2:21" ht="16.95" customHeight="1" x14ac:dyDescent="0.3">
      <c r="B38" s="95">
        <v>57</v>
      </c>
      <c r="C38" s="98" t="str">
        <f>VLOOKUP(B38,Nucleo_Pins_Altium!$H$2:$Y$144, 13+CN11Odd, FALSE)</f>
        <v>CAN1_RX</v>
      </c>
      <c r="D38" s="90" t="str">
        <f>VLOOKUP(B38,Nucleo_Pins_Altium!$H$2:$Y$144, 8, FALSE)</f>
        <v>D</v>
      </c>
      <c r="E38" s="91">
        <f>VLOOKUP(B38,Nucleo_Pins_Altium!$H$2:$Y$144, 9, FALSE)</f>
        <v>0</v>
      </c>
      <c r="G38" s="95">
        <v>56</v>
      </c>
      <c r="H38" s="98" t="str">
        <f>VLOOKUP(G38,Nucleo_Pins_Altium!$I$2:$Y$144, 12+CN11Odd, FALSE)</f>
        <v>DIG_IN3</v>
      </c>
      <c r="I38" s="90" t="str">
        <f>VLOOKUP(G38,Nucleo_Pins_Altium!$I$2:$Y$144, 7, FALSE)</f>
        <v>F</v>
      </c>
      <c r="J38" s="91">
        <f>VLOOKUP(G38,Nucleo_Pins_Altium!$I$2:$Y$144, 8, FALSE)</f>
        <v>9</v>
      </c>
      <c r="M38" s="95">
        <v>57</v>
      </c>
      <c r="N38" s="98" t="str">
        <f>VLOOKUP(M38,Nucleo_Pins_Altium!$H$2:$Y$144, 13+CN11Odd, FALSE)</f>
        <v>CAN1_RX</v>
      </c>
      <c r="O38" s="90" t="str">
        <f>VLOOKUP(M38,Nucleo_Pins_Altium!$J$2:$Y$144, 6, FALSE)</f>
        <v>F</v>
      </c>
      <c r="P38" s="91">
        <f>VLOOKUP(M38,Nucleo_Pins_Altium!$J$2:$Y$144, 7, FALSE)</f>
        <v>13</v>
      </c>
      <c r="R38" s="95">
        <v>56</v>
      </c>
      <c r="S38" s="98" t="str">
        <f>VLOOKUP(R38,Nucleo_Pins_Altium!$K$2:$Y$144, 10+CN11Odd, FALSE)</f>
        <v>PWM_M2</v>
      </c>
      <c r="T38" s="90" t="str">
        <f>VLOOKUP(R38,Nucleo_Pins_Altium!$K$2:$Y$144, 5, FALSE)</f>
        <v>E</v>
      </c>
      <c r="U38" s="91">
        <f>VLOOKUP(R38,Nucleo_Pins_Altium!$K$2:$Y$144, 6, FALSE)</f>
        <v>11</v>
      </c>
    </row>
    <row r="39" spans="2:21" ht="16.95" customHeight="1" x14ac:dyDescent="0.3">
      <c r="B39" s="95">
        <v>59</v>
      </c>
      <c r="C39" s="98">
        <f>VLOOKUP(B39,Nucleo_Pins_Altium!$H$2:$Y$144, 13+CN11Odd, FALSE)</f>
        <v>0</v>
      </c>
      <c r="D39" s="90" t="str">
        <f>VLOOKUP(B39,Nucleo_Pins_Altium!$H$2:$Y$144, 8, FALSE)</f>
        <v>G</v>
      </c>
      <c r="E39" s="91">
        <f>VLOOKUP(B39,Nucleo_Pins_Altium!$H$2:$Y$144, 9, FALSE)</f>
        <v>0</v>
      </c>
      <c r="G39" s="95">
        <v>58</v>
      </c>
      <c r="H39" s="98" t="str">
        <f>VLOOKUP(G39,Nucleo_Pins_Altium!$I$2:$Y$144, 12+CN11Odd, FALSE)</f>
        <v>Not Connected</v>
      </c>
      <c r="I39" s="90" t="str">
        <f>VLOOKUP(G39,Nucleo_Pins_Altium!$I$2:$Y$144, 7, FALSE)</f>
        <v>G</v>
      </c>
      <c r="J39" s="91">
        <f>VLOOKUP(G39,Nucleo_Pins_Altium!$I$2:$Y$144, 8, FALSE)</f>
        <v>1</v>
      </c>
      <c r="M39" s="95">
        <v>59</v>
      </c>
      <c r="N39" s="98">
        <f>VLOOKUP(M39,Nucleo_Pins_Altium!$H$2:$Y$144, 13+CN11Odd, FALSE)</f>
        <v>0</v>
      </c>
      <c r="O39" s="90" t="str">
        <f>VLOOKUP(M39,Nucleo_Pins_Altium!$J$2:$Y$144, 6, FALSE)</f>
        <v>F</v>
      </c>
      <c r="P39" s="91">
        <f>VLOOKUP(M39,Nucleo_Pins_Altium!$J$2:$Y$144, 7, FALSE)</f>
        <v>12</v>
      </c>
      <c r="R39" s="95">
        <v>58</v>
      </c>
      <c r="S39" s="98" t="str">
        <f>VLOOKUP(R39,Nucleo_Pins_Altium!$K$2:$Y$144, 10+CN11Odd, FALSE)</f>
        <v>ADC3_CS_M1 (VNH5019)</v>
      </c>
      <c r="T39" s="90" t="str">
        <f>VLOOKUP(R39,Nucleo_Pins_Altium!$K$2:$Y$144, 5, FALSE)</f>
        <v>F</v>
      </c>
      <c r="U39" s="91">
        <f>VLOOKUP(R39,Nucleo_Pins_Altium!$K$2:$Y$144, 6, FALSE)</f>
        <v>3</v>
      </c>
    </row>
    <row r="40" spans="2:21" ht="16.95" customHeight="1" x14ac:dyDescent="0.3">
      <c r="B40" s="95">
        <v>61</v>
      </c>
      <c r="C40" s="98" t="str">
        <f>VLOOKUP(B40,Nucleo_Pins_Altium!$H$2:$Y$144, 13+CN11Odd, FALSE)</f>
        <v>TX8_HS FTDI232H</v>
      </c>
      <c r="D40" s="90" t="str">
        <f>VLOOKUP(B40,Nucleo_Pins_Altium!$H$2:$Y$144, 8, FALSE)</f>
        <v>E</v>
      </c>
      <c r="E40" s="91">
        <f>VLOOKUP(B40,Nucleo_Pins_Altium!$H$2:$Y$144, 9, FALSE)</f>
        <v>1</v>
      </c>
      <c r="G40" s="95">
        <v>60</v>
      </c>
      <c r="H40" s="98">
        <f>VLOOKUP(G40,Nucleo_Pins_Altium!$I$2:$Y$144, 12+CN11Odd, FALSE)</f>
        <v>0</v>
      </c>
      <c r="I40" s="90" t="str">
        <f>VLOOKUP(G40,Nucleo_Pins_Altium!$I$2:$Y$144, 7, FALSE)</f>
        <v>GND</v>
      </c>
      <c r="J40" s="91" t="str">
        <f>VLOOKUP(G40,Nucleo_Pins_Altium!$I$2:$Y$144, 8, FALSE)</f>
        <v>GND</v>
      </c>
      <c r="M40" s="95">
        <v>61</v>
      </c>
      <c r="N40" s="98" t="str">
        <f>VLOOKUP(M40,Nucleo_Pins_Altium!$H$2:$Y$144, 13+CN11Odd, FALSE)</f>
        <v>TX8_HS FTDI232H</v>
      </c>
      <c r="O40" s="90" t="str">
        <f>VLOOKUP(M40,Nucleo_Pins_Altium!$J$2:$Y$144, 6, FALSE)</f>
        <v>G</v>
      </c>
      <c r="P40" s="91">
        <f>VLOOKUP(M40,Nucleo_Pins_Altium!$J$2:$Y$144, 7, FALSE)</f>
        <v>14</v>
      </c>
      <c r="R40" s="95">
        <v>60</v>
      </c>
      <c r="S40" s="98" t="str">
        <f>VLOOKUP(R40,Nucleo_Pins_Altium!$K$2:$Y$144, 10+CN11Odd, FALSE)</f>
        <v>ENA_M3</v>
      </c>
      <c r="T40" s="90" t="str">
        <f>VLOOKUP(R40,Nucleo_Pins_Altium!$K$2:$Y$144, 5, FALSE)</f>
        <v>F</v>
      </c>
      <c r="U40" s="91">
        <f>VLOOKUP(R40,Nucleo_Pins_Altium!$K$2:$Y$144, 6, FALSE)</f>
        <v>15</v>
      </c>
    </row>
    <row r="41" spans="2:21" ht="16.95" customHeight="1" x14ac:dyDescent="0.3">
      <c r="B41" s="95">
        <v>63</v>
      </c>
      <c r="C41" s="98" t="str">
        <f>VLOOKUP(B41,Nucleo_Pins_Altium!$H$2:$Y$144, 13+CN11Odd, FALSE)</f>
        <v>RX6_SERIAL</v>
      </c>
      <c r="D41" s="90" t="str">
        <f>VLOOKUP(B41,Nucleo_Pins_Altium!$H$2:$Y$144, 8, FALSE)</f>
        <v>G</v>
      </c>
      <c r="E41" s="91">
        <f>VLOOKUP(B41,Nucleo_Pins_Altium!$H$2:$Y$144, 9, FALSE)</f>
        <v>9</v>
      </c>
      <c r="G41" s="95">
        <v>62</v>
      </c>
      <c r="H41" s="98" t="str">
        <f>VLOOKUP(G41,Nucleo_Pins_Altium!$I$2:$Y$144, 12+CN11Odd, FALSE)</f>
        <v>Not Connected</v>
      </c>
      <c r="I41" s="90" t="str">
        <f>VLOOKUP(G41,Nucleo_Pins_Altium!$I$2:$Y$144, 7, FALSE)</f>
        <v>E</v>
      </c>
      <c r="J41" s="91">
        <f>VLOOKUP(G41,Nucleo_Pins_Altium!$I$2:$Y$144, 8, FALSE)</f>
        <v>6</v>
      </c>
      <c r="M41" s="95">
        <v>63</v>
      </c>
      <c r="N41" s="98" t="str">
        <f>VLOOKUP(M41,Nucleo_Pins_Altium!$H$2:$Y$144, 13+CN11Odd, FALSE)</f>
        <v>RX6_SERIAL</v>
      </c>
      <c r="O41" s="90" t="str">
        <f>VLOOKUP(M41,Nucleo_Pins_Altium!$J$2:$Y$144, 6, FALSE)</f>
        <v>GND</v>
      </c>
      <c r="P41" s="91" t="str">
        <f>VLOOKUP(M41,Nucleo_Pins_Altium!$J$2:$Y$144, 7, FALSE)</f>
        <v>GND</v>
      </c>
      <c r="R41" s="95">
        <v>62</v>
      </c>
      <c r="S41" s="98" t="str">
        <f>VLOOKUP(R41,Nucleo_Pins_Altium!$K$2:$Y$144, 10+CN11Odd, FALSE)</f>
        <v>Not Connected</v>
      </c>
      <c r="T41" s="90" t="str">
        <f>VLOOKUP(R41,Nucleo_Pins_Altium!$K$2:$Y$144, 5, FALSE)</f>
        <v>F</v>
      </c>
      <c r="U41" s="91">
        <f>VLOOKUP(R41,Nucleo_Pins_Altium!$K$2:$Y$144, 6, FALSE)</f>
        <v>11</v>
      </c>
    </row>
    <row r="42" spans="2:21" ht="16.95" customHeight="1" x14ac:dyDescent="0.3">
      <c r="B42" s="95">
        <v>65</v>
      </c>
      <c r="C42" s="98" t="str">
        <f>VLOOKUP(B42,Nucleo_Pins_Altium!$H$2:$Y$144, 13+CN11Odd, FALSE)</f>
        <v>INB_M3</v>
      </c>
      <c r="D42" s="90" t="str">
        <f>VLOOKUP(B42,Nucleo_Pins_Altium!$H$2:$Y$144, 8, FALSE)</f>
        <v>G</v>
      </c>
      <c r="E42" s="91">
        <f>VLOOKUP(B42,Nucleo_Pins_Altium!$H$2:$Y$144, 9, FALSE)</f>
        <v>12</v>
      </c>
      <c r="G42" s="95">
        <v>64</v>
      </c>
      <c r="H42" s="98" t="str">
        <f>VLOOKUP(G42,Nucleo_Pins_Altium!$I$2:$Y$144, 12+CN11Odd, FALSE)</f>
        <v>Not Connected</v>
      </c>
      <c r="I42" s="90" t="str">
        <f>VLOOKUP(G42,Nucleo_Pins_Altium!$I$2:$Y$144, 7, FALSE)</f>
        <v>G</v>
      </c>
      <c r="J42" s="91">
        <f>VLOOKUP(G42,Nucleo_Pins_Altium!$I$2:$Y$144, 8, FALSE)</f>
        <v>15</v>
      </c>
      <c r="M42" s="95">
        <v>65</v>
      </c>
      <c r="N42" s="98" t="str">
        <f>VLOOKUP(M42,Nucleo_Pins_Altium!$H$2:$Y$144, 13+CN11Odd, FALSE)</f>
        <v>INB_M3</v>
      </c>
      <c r="O42" s="90" t="str">
        <f>VLOOKUP(M42,Nucleo_Pins_Altium!$J$2:$Y$144, 6, FALSE)</f>
        <v>D</v>
      </c>
      <c r="P42" s="91">
        <f>VLOOKUP(M42,Nucleo_Pins_Altium!$J$2:$Y$144, 7, FALSE)</f>
        <v>10</v>
      </c>
      <c r="R42" s="95">
        <v>64</v>
      </c>
      <c r="S42" s="98" t="str">
        <f>VLOOKUP(R42,Nucleo_Pins_Altium!$K$2:$Y$144, 10+CN11Odd, FALSE)</f>
        <v>RX8_HS_FTDI232H</v>
      </c>
      <c r="T42" s="90" t="str">
        <f>VLOOKUP(R42,Nucleo_Pins_Altium!$K$2:$Y$144, 5, FALSE)</f>
        <v>E</v>
      </c>
      <c r="U42" s="91">
        <f>VLOOKUP(R42,Nucleo_Pins_Altium!$K$2:$Y$144, 6, FALSE)</f>
        <v>0</v>
      </c>
    </row>
    <row r="43" spans="2:21" ht="16.95" customHeight="1" x14ac:dyDescent="0.3">
      <c r="B43" s="95">
        <v>67</v>
      </c>
      <c r="C43" s="98">
        <f>VLOOKUP(B43,Nucleo_Pins_Altium!$H$2:$Y$144, 13+CN11Odd, FALSE)</f>
        <v>0</v>
      </c>
      <c r="D43" s="90" t="str">
        <f>VLOOKUP(B43,Nucleo_Pins_Altium!$H$2:$Y$144, 8, FALSE)</f>
        <v>-</v>
      </c>
      <c r="E43" s="91" t="str">
        <f>VLOOKUP(B43,Nucleo_Pins_Altium!$H$2:$Y$144, 9, FALSE)</f>
        <v>-</v>
      </c>
      <c r="G43" s="95">
        <v>66</v>
      </c>
      <c r="H43" s="98" t="str">
        <f>VLOOKUP(G43,Nucleo_Pins_Altium!$I$2:$Y$144, 12+CN11Odd, FALSE)</f>
        <v>INA_M3</v>
      </c>
      <c r="I43" s="90" t="str">
        <f>VLOOKUP(G43,Nucleo_Pins_Altium!$I$2:$Y$144, 7, FALSE)</f>
        <v>G</v>
      </c>
      <c r="J43" s="91">
        <f>VLOOKUP(G43,Nucleo_Pins_Altium!$I$2:$Y$144, 8, FALSE)</f>
        <v>10</v>
      </c>
      <c r="M43" s="95">
        <v>67</v>
      </c>
      <c r="N43" s="98">
        <f>VLOOKUP(M43,Nucleo_Pins_Altium!$H$2:$Y$144, 13+CN11Odd, FALSE)</f>
        <v>0</v>
      </c>
      <c r="O43" s="90" t="str">
        <f>VLOOKUP(M43,Nucleo_Pins_Altium!$J$2:$Y$144, 6, FALSE)</f>
        <v>G</v>
      </c>
      <c r="P43" s="91">
        <f>VLOOKUP(M43,Nucleo_Pins_Altium!$J$2:$Y$144, 7, FALSE)</f>
        <v>7</v>
      </c>
      <c r="R43" s="95">
        <v>66</v>
      </c>
      <c r="S43" s="98">
        <f>VLOOKUP(R43,Nucleo_Pins_Altium!$K$2:$Y$144, 10+CN11Odd, FALSE)</f>
        <v>0</v>
      </c>
      <c r="T43" s="90" t="str">
        <f>VLOOKUP(R43,Nucleo_Pins_Altium!$K$2:$Y$144, 5, FALSE)</f>
        <v>G</v>
      </c>
      <c r="U43" s="91">
        <f>VLOOKUP(R43,Nucleo_Pins_Altium!$K$2:$Y$144, 6, FALSE)</f>
        <v>8</v>
      </c>
    </row>
    <row r="44" spans="2:21" ht="16.95" customHeight="1" x14ac:dyDescent="0.3">
      <c r="B44" s="96">
        <v>69</v>
      </c>
      <c r="C44" s="99" t="str">
        <f>VLOOKUP(B44,Nucleo_Pins_Altium!$H$2:$Y$144, 13+CN11Odd, FALSE)</f>
        <v>NOT AVAIL (USB)</v>
      </c>
      <c r="D44" s="92" t="str">
        <f>VLOOKUP(B44,Nucleo_Pins_Altium!$H$2:$Y$144, 8, FALSE)</f>
        <v>D</v>
      </c>
      <c r="E44" s="93">
        <f>VLOOKUP(B44,Nucleo_Pins_Altium!$H$2:$Y$144, 9, FALSE)</f>
        <v>9</v>
      </c>
      <c r="G44" s="96">
        <v>68</v>
      </c>
      <c r="H44" s="99" t="str">
        <f>VLOOKUP(G44,Nucleo_Pins_Altium!$I$2:$Y$144, 12+CN11Odd, FALSE)</f>
        <v>NOT AVAIL (ETH)</v>
      </c>
      <c r="I44" s="92" t="str">
        <f>VLOOKUP(G44,Nucleo_Pins_Altium!$I$2:$Y$144, 7, FALSE)</f>
        <v>G</v>
      </c>
      <c r="J44" s="93">
        <f>VLOOKUP(G44,Nucleo_Pins_Altium!$I$2:$Y$144, 8, FALSE)</f>
        <v>13</v>
      </c>
      <c r="M44" s="96">
        <v>69</v>
      </c>
      <c r="N44" s="99" t="str">
        <f>VLOOKUP(M44,Nucleo_Pins_Altium!$H$2:$Y$144, 13+CN11Odd, FALSE)</f>
        <v>NOT AVAIL (USB)</v>
      </c>
      <c r="O44" s="92" t="str">
        <f>VLOOKUP(M44,Nucleo_Pins_Altium!$J$2:$Y$144, 6, FALSE)</f>
        <v>G</v>
      </c>
      <c r="P44" s="93">
        <f>VLOOKUP(M44,Nucleo_Pins_Altium!$J$2:$Y$144, 7, FALSE)</f>
        <v>4</v>
      </c>
      <c r="R44" s="96">
        <v>68</v>
      </c>
      <c r="S44" s="99" t="str">
        <f>VLOOKUP(R44,Nucleo_Pins_Altium!$K$2:$Y$144, 10+CN11Odd, FALSE)</f>
        <v>INB_M2</v>
      </c>
      <c r="T44" s="92" t="str">
        <f>VLOOKUP(R44,Nucleo_Pins_Altium!$K$2:$Y$144, 5, FALSE)</f>
        <v>G</v>
      </c>
      <c r="U44" s="93">
        <f>VLOOKUP(R44,Nucleo_Pins_Altium!$K$2:$Y$144, 6, FALSE)</f>
        <v>5</v>
      </c>
    </row>
    <row r="45" spans="2:21" ht="49.05" customHeight="1" x14ac:dyDescent="0.3">
      <c r="N45" s="45"/>
      <c r="O45" s="87"/>
      <c r="P45" s="45"/>
    </row>
    <row r="46" spans="2:21" ht="21" x14ac:dyDescent="0.4">
      <c r="E46" s="102" t="s">
        <v>25</v>
      </c>
      <c r="P46" s="103" t="s">
        <v>177</v>
      </c>
    </row>
    <row r="47" spans="2:21" x14ac:dyDescent="0.3">
      <c r="M47" s="94" t="s">
        <v>756</v>
      </c>
      <c r="N47" s="97" t="s">
        <v>757</v>
      </c>
      <c r="O47" s="88" t="s">
        <v>8</v>
      </c>
      <c r="P47" s="89" t="s">
        <v>1</v>
      </c>
      <c r="R47" s="94" t="s">
        <v>756</v>
      </c>
      <c r="S47" s="97" t="s">
        <v>757</v>
      </c>
      <c r="T47" s="100" t="s">
        <v>8</v>
      </c>
      <c r="U47" s="101" t="s">
        <v>1</v>
      </c>
    </row>
    <row r="48" spans="2:21" x14ac:dyDescent="0.3">
      <c r="B48" s="94" t="s">
        <v>756</v>
      </c>
      <c r="C48" s="97" t="s">
        <v>757</v>
      </c>
      <c r="D48" s="88" t="s">
        <v>8</v>
      </c>
      <c r="E48" s="89" t="s">
        <v>1</v>
      </c>
      <c r="G48" s="94" t="s">
        <v>756</v>
      </c>
      <c r="H48" s="97" t="s">
        <v>757</v>
      </c>
      <c r="I48" s="100" t="s">
        <v>8</v>
      </c>
      <c r="J48" s="101" t="s">
        <v>1</v>
      </c>
      <c r="M48" s="95">
        <v>1</v>
      </c>
      <c r="N48" s="98" t="str">
        <f>VLOOKUP(M48,Nucleo_Pins_Altium!$D$2:$Y$144, 17+CN11Odd, FALSE)</f>
        <v>T8_CH1_ENC3A</v>
      </c>
      <c r="O48" s="90" t="str">
        <f>VLOOKUP(M48,Nucleo_Pins_Altium!$D$2:$Y$144, 12, FALSE)</f>
        <v>C</v>
      </c>
      <c r="P48" s="91">
        <f>VLOOKUP(M48,Nucleo_Pins_Altium!$D$2:$Y$144, 13, FALSE)</f>
        <v>6</v>
      </c>
      <c r="R48" s="95">
        <v>2</v>
      </c>
      <c r="S48" s="98" t="str">
        <f>VLOOKUP(R48,Nucleo_Pins_Altium!$D$2:$Y$144, 17+CN11Odd, FALSE)</f>
        <v>Buzzer</v>
      </c>
      <c r="T48" s="90" t="str">
        <f>VLOOKUP(R48,Nucleo_Pins_Altium!$D$2:$Y$144, 12, FALSE)</f>
        <v>B</v>
      </c>
      <c r="U48" s="91">
        <f>VLOOKUP(R48,Nucleo_Pins_Altium!$D$2:$Y$144, 13, FALSE)</f>
        <v>8</v>
      </c>
    </row>
    <row r="49" spans="2:21" x14ac:dyDescent="0.3">
      <c r="B49" s="95">
        <v>1</v>
      </c>
      <c r="C49" s="98">
        <f>VLOOKUP(B49,Nucleo_Pins_Altium!$E$2:$Y$144, 16+CN11Odd, FALSE)</f>
        <v>0</v>
      </c>
      <c r="D49" s="90" t="str">
        <f>VLOOKUP(B49,Nucleo_Pins_Altium!$E$2:$Y$144, 11, FALSE)</f>
        <v>NotConn</v>
      </c>
      <c r="E49" s="91">
        <f>VLOOKUP(B49,Nucleo_Pins_Altium!$E$2:$Y$144, 12, FALSE)</f>
        <v>0</v>
      </c>
      <c r="G49" s="95">
        <v>2</v>
      </c>
      <c r="H49" s="98" t="str">
        <f>VLOOKUP(G49,Nucleo_Pins_Altium!$E$2:$Y$144, 16+CN11Odd, FALSE)</f>
        <v>MCU/SD_D0</v>
      </c>
      <c r="I49" s="90" t="str">
        <f>VLOOKUP(G49,Nucleo_Pins_Altium!$E$2:$Y$144, 11, FALSE)</f>
        <v>C</v>
      </c>
      <c r="J49" s="91">
        <f>VLOOKUP(G49,Nucleo_Pins_Altium!$E$2:$Y$144, 12, FALSE)</f>
        <v>8</v>
      </c>
      <c r="M49" s="95">
        <v>3</v>
      </c>
      <c r="N49" s="98" t="str">
        <f>VLOOKUP(M49,Nucleo_Pins_Altium!$D$2:$Y$144, 17+CN11Odd, FALSE)</f>
        <v>Not Connected</v>
      </c>
      <c r="O49" s="90" t="str">
        <f>VLOOKUP(M49,Nucleo_Pins_Altium!$D$2:$Y$144, 12, FALSE)</f>
        <v>B</v>
      </c>
      <c r="P49" s="91">
        <f>VLOOKUP(M49,Nucleo_Pins_Altium!$D$2:$Y$144, 13, FALSE)</f>
        <v>15</v>
      </c>
      <c r="R49" s="95">
        <v>4</v>
      </c>
      <c r="S49" s="98" t="str">
        <f>VLOOKUP(R49,Nucleo_Pins_Altium!$D$2:$Y$144, 17+CN11Odd, FALSE)</f>
        <v>Not Connected</v>
      </c>
      <c r="T49" s="90" t="str">
        <f>VLOOKUP(R49,Nucleo_Pins_Altium!$D$2:$Y$144, 12, FALSE)</f>
        <v>B</v>
      </c>
      <c r="U49" s="91">
        <f>VLOOKUP(R49,Nucleo_Pins_Altium!$D$2:$Y$144, 13, FALSE)</f>
        <v>9</v>
      </c>
    </row>
    <row r="50" spans="2:21" x14ac:dyDescent="0.3">
      <c r="B50" s="95">
        <v>3</v>
      </c>
      <c r="C50" s="98" t="str">
        <f>VLOOKUP(B50,Nucleo_Pins_Altium!$E$2:$Y$144, 16+CN11Odd, FALSE)</f>
        <v>IOREF</v>
      </c>
      <c r="D50" s="90" t="str">
        <f>VLOOKUP(B50,Nucleo_Pins_Altium!$E$2:$Y$144, 11, FALSE)</f>
        <v>IOREF</v>
      </c>
      <c r="E50" s="91" t="str">
        <f>VLOOKUP(B50,Nucleo_Pins_Altium!$E$2:$Y$144, 12, FALSE)</f>
        <v>IOREF</v>
      </c>
      <c r="G50" s="95">
        <v>4</v>
      </c>
      <c r="H50" s="98" t="str">
        <f>VLOOKUP(G50,Nucleo_Pins_Altium!$E$2:$Y$144, 16+CN11Odd, FALSE)</f>
        <v>MCU/SD_D1</v>
      </c>
      <c r="I50" s="90" t="str">
        <f>VLOOKUP(G50,Nucleo_Pins_Altium!$E$2:$Y$144, 11, FALSE)</f>
        <v>C</v>
      </c>
      <c r="J50" s="91">
        <f>VLOOKUP(G50,Nucleo_Pins_Altium!$E$2:$Y$144, 12, FALSE)</f>
        <v>9</v>
      </c>
      <c r="M50" s="95">
        <v>5</v>
      </c>
      <c r="N50" s="98" t="str">
        <f>VLOOKUP(M50,Nucleo_Pins_Altium!$D$2:$Y$144, 17+CN11Odd, FALSE)</f>
        <v>NOT AVAIL (ETH)</v>
      </c>
      <c r="O50" s="90" t="str">
        <f>VLOOKUP(M50,Nucleo_Pins_Altium!$D$2:$Y$144, 12, FALSE)</f>
        <v>B</v>
      </c>
      <c r="P50" s="91">
        <f>VLOOKUP(M50,Nucleo_Pins_Altium!$D$2:$Y$144, 13, FALSE)</f>
        <v>13</v>
      </c>
      <c r="R50" s="95">
        <v>6</v>
      </c>
      <c r="S50" s="98">
        <f>VLOOKUP(R50,Nucleo_Pins_Altium!$D$2:$Y$144, 17+CN11Odd, FALSE)</f>
        <v>0</v>
      </c>
      <c r="T50" s="90" t="str">
        <f>VLOOKUP(R50,Nucleo_Pins_Altium!$D$2:$Y$144, 12, FALSE)</f>
        <v>AVDD</v>
      </c>
      <c r="U50" s="91" t="str">
        <f>VLOOKUP(R50,Nucleo_Pins_Altium!$D$2:$Y$144, 13, FALSE)</f>
        <v>AVDD</v>
      </c>
    </row>
    <row r="51" spans="2:21" x14ac:dyDescent="0.3">
      <c r="B51" s="95">
        <v>5</v>
      </c>
      <c r="C51" s="98" t="str">
        <f>VLOOKUP(B51,Nucleo_Pins_Altium!$E$2:$Y$144, 16+CN11Odd, FALSE)</f>
        <v>RESET</v>
      </c>
      <c r="D51" s="90" t="str">
        <f>VLOOKUP(B51,Nucleo_Pins_Altium!$E$2:$Y$144, 11, FALSE)</f>
        <v>RESET</v>
      </c>
      <c r="E51" s="91" t="str">
        <f>VLOOKUP(B51,Nucleo_Pins_Altium!$E$2:$Y$144, 12, FALSE)</f>
        <v>RESET</v>
      </c>
      <c r="G51" s="95">
        <v>6</v>
      </c>
      <c r="H51" s="98" t="str">
        <f>VLOOKUP(G51,Nucleo_Pins_Altium!$E$2:$Y$144, 16+CN11Odd, FALSE)</f>
        <v>MCU/SD_D2</v>
      </c>
      <c r="I51" s="90" t="str">
        <f>VLOOKUP(G51,Nucleo_Pins_Altium!$E$2:$Y$144, 11, FALSE)</f>
        <v>C</v>
      </c>
      <c r="J51" s="91">
        <f>VLOOKUP(G51,Nucleo_Pins_Altium!$E$2:$Y$144, 12, FALSE)</f>
        <v>10</v>
      </c>
      <c r="M51" s="95">
        <v>7</v>
      </c>
      <c r="N51" s="98" t="str">
        <f>VLOOKUP(M51,Nucleo_Pins_Altium!$D$2:$Y$144, 17+CN11Odd, FALSE)</f>
        <v>Not Connected</v>
      </c>
      <c r="O51" s="90" t="str">
        <f>VLOOKUP(M51,Nucleo_Pins_Altium!$D$2:$Y$144, 12, FALSE)</f>
        <v>B</v>
      </c>
      <c r="P51" s="91">
        <f>VLOOKUP(M51,Nucleo_Pins_Altium!$D$2:$Y$144, 13, FALSE)</f>
        <v>12</v>
      </c>
      <c r="R51" s="95">
        <v>8</v>
      </c>
      <c r="S51" s="98" t="str">
        <f>VLOOKUP(R51,Nucleo_Pins_Altium!$D$2:$Y$144, 17+CN11Odd, FALSE)</f>
        <v>GND</v>
      </c>
      <c r="T51" s="90" t="str">
        <f>VLOOKUP(R51,Nucleo_Pins_Altium!$D$2:$Y$144, 12, FALSE)</f>
        <v>GND</v>
      </c>
      <c r="U51" s="91" t="str">
        <f>VLOOKUP(R51,Nucleo_Pins_Altium!$D$2:$Y$144, 13, FALSE)</f>
        <v>GND</v>
      </c>
    </row>
    <row r="52" spans="2:21" x14ac:dyDescent="0.3">
      <c r="B52" s="95">
        <v>7</v>
      </c>
      <c r="C52" s="98" t="str">
        <f>VLOOKUP(B52,Nucleo_Pins_Altium!$E$2:$Y$144, 16+CN11Odd, FALSE)</f>
        <v>3V3 input/output</v>
      </c>
      <c r="D52" s="90" t="str">
        <f>VLOOKUP(B52,Nucleo_Pins_Altium!$E$2:$Y$144, 11, FALSE)</f>
        <v>+3V3</v>
      </c>
      <c r="E52" s="91" t="str">
        <f>VLOOKUP(B52,Nucleo_Pins_Altium!$E$2:$Y$144, 12, FALSE)</f>
        <v>+3V3</v>
      </c>
      <c r="G52" s="95">
        <v>8</v>
      </c>
      <c r="H52" s="98" t="str">
        <f>VLOOKUP(G52,Nucleo_Pins_Altium!$E$2:$Y$144, 16+CN11Odd, FALSE)</f>
        <v>MCU/SD_D3</v>
      </c>
      <c r="I52" s="90" t="str">
        <f>VLOOKUP(G52,Nucleo_Pins_Altium!$E$2:$Y$144, 11, FALSE)</f>
        <v>C</v>
      </c>
      <c r="J52" s="91">
        <f>VLOOKUP(G52,Nucleo_Pins_Altium!$E$2:$Y$144, 12, FALSE)</f>
        <v>11</v>
      </c>
      <c r="M52" s="95">
        <v>9</v>
      </c>
      <c r="N52" s="98" t="str">
        <f>VLOOKUP(M52,Nucleo_Pins_Altium!$D$2:$Y$144, 17+CN11Odd, FALSE)</f>
        <v>T2_CH1_ENC4_A</v>
      </c>
      <c r="O52" s="90" t="str">
        <f>VLOOKUP(M52,Nucleo_Pins_Altium!$D$2:$Y$144, 12, FALSE)</f>
        <v>A</v>
      </c>
      <c r="P52" s="91">
        <f>VLOOKUP(M52,Nucleo_Pins_Altium!$D$2:$Y$144, 13, FALSE)</f>
        <v>15</v>
      </c>
      <c r="R52" s="95">
        <v>10</v>
      </c>
      <c r="S52" s="98" t="str">
        <f>VLOOKUP(R52,Nucleo_Pins_Altium!$D$2:$Y$144, 17+CN11Odd, FALSE)</f>
        <v>ADC1_CS_HES_MT3 (HES Sensor)</v>
      </c>
      <c r="T52" s="90" t="str">
        <f>VLOOKUP(R52,Nucleo_Pins_Altium!$D$2:$Y$144, 12, FALSE)</f>
        <v>A</v>
      </c>
      <c r="U52" s="91">
        <f>VLOOKUP(R52,Nucleo_Pins_Altium!$D$2:$Y$144, 13, FALSE)</f>
        <v>5</v>
      </c>
    </row>
    <row r="53" spans="2:21" x14ac:dyDescent="0.3">
      <c r="B53" s="95">
        <v>9</v>
      </c>
      <c r="C53" s="98" t="str">
        <f>VLOOKUP(B53,Nucleo_Pins_Altium!$E$2:$Y$144, 16+CN11Odd, FALSE)</f>
        <v>5V output</v>
      </c>
      <c r="D53" s="90" t="str">
        <f>VLOOKUP(B53,Nucleo_Pins_Altium!$E$2:$Y$144, 11, FALSE)</f>
        <v>+5V</v>
      </c>
      <c r="E53" s="91" t="str">
        <f>VLOOKUP(B53,Nucleo_Pins_Altium!$E$2:$Y$144, 12, FALSE)</f>
        <v>+5V</v>
      </c>
      <c r="G53" s="95">
        <v>10</v>
      </c>
      <c r="H53" s="98" t="str">
        <f>VLOOKUP(G53,Nucleo_Pins_Altium!$E$2:$Y$144, 16+CN11Odd, FALSE)</f>
        <v>MCU/SD_CLK</v>
      </c>
      <c r="I53" s="90" t="str">
        <f>VLOOKUP(G53,Nucleo_Pins_Altium!$E$2:$Y$144, 11, FALSE)</f>
        <v>C</v>
      </c>
      <c r="J53" s="91">
        <f>VLOOKUP(G53,Nucleo_Pins_Altium!$E$2:$Y$144, 12, FALSE)</f>
        <v>12</v>
      </c>
      <c r="M53" s="95">
        <v>11</v>
      </c>
      <c r="N53" s="98" t="str">
        <f>VLOOKUP(M53,Nucleo_Pins_Altium!$D$2:$Y$144, 17+CN11Odd, FALSE)</f>
        <v>T8_CH2_ENC3B</v>
      </c>
      <c r="O53" s="90" t="str">
        <f>VLOOKUP(M53,Nucleo_Pins_Altium!$D$2:$Y$144, 12, FALSE)</f>
        <v>C</v>
      </c>
      <c r="P53" s="91">
        <f>VLOOKUP(M53,Nucleo_Pins_Altium!$D$2:$Y$144, 13, FALSE)</f>
        <v>7</v>
      </c>
      <c r="R53" s="95">
        <v>12</v>
      </c>
      <c r="S53" s="98" t="str">
        <f>VLOOKUP(R53,Nucleo_Pins_Altium!$D$2:$Y$144, 17+CN11Odd, FALSE)</f>
        <v>ADC1_CS_HES_MT2 (HES Sensor)</v>
      </c>
      <c r="T53" s="90" t="str">
        <f>VLOOKUP(R53,Nucleo_Pins_Altium!$D$2:$Y$144, 12, FALSE)</f>
        <v>A</v>
      </c>
      <c r="U53" s="91">
        <f>VLOOKUP(R53,Nucleo_Pins_Altium!$D$2:$Y$144, 13, FALSE)</f>
        <v>6</v>
      </c>
    </row>
    <row r="54" spans="2:21" x14ac:dyDescent="0.3">
      <c r="B54" s="95">
        <v>11</v>
      </c>
      <c r="C54" s="98" t="str">
        <f>VLOOKUP(B54,Nucleo_Pins_Altium!$E$2:$Y$144, 16+CN11Odd, FALSE)</f>
        <v>GND</v>
      </c>
      <c r="D54" s="90" t="str">
        <f>VLOOKUP(B54,Nucleo_Pins_Altium!$E$2:$Y$144, 11, FALSE)</f>
        <v>GND</v>
      </c>
      <c r="E54" s="91" t="str">
        <f>VLOOKUP(B54,Nucleo_Pins_Altium!$E$2:$Y$144, 12, FALSE)</f>
        <v>GND</v>
      </c>
      <c r="G54" s="95">
        <v>12</v>
      </c>
      <c r="H54" s="98" t="str">
        <f>VLOOKUP(G54,Nucleo_Pins_Altium!$E$2:$Y$144, 16+CN11Odd, FALSE)</f>
        <v>MCU/SD_CMD</v>
      </c>
      <c r="I54" s="90" t="str">
        <f>VLOOKUP(G54,Nucleo_Pins_Altium!$E$2:$Y$144, 11, FALSE)</f>
        <v>D</v>
      </c>
      <c r="J54" s="91">
        <f>VLOOKUP(G54,Nucleo_Pins_Altium!$E$2:$Y$144, 12, FALSE)</f>
        <v>2</v>
      </c>
      <c r="M54" s="95">
        <v>13</v>
      </c>
      <c r="N54" s="98" t="str">
        <f>VLOOKUP(M54,Nucleo_Pins_Altium!$D$2:$Y$144, 17+CN11Odd, FALSE)</f>
        <v>T3_CH2_ENC1B</v>
      </c>
      <c r="O54" s="90" t="str">
        <f>VLOOKUP(M54,Nucleo_Pins_Altium!$D$2:$Y$144, 12, FALSE)</f>
        <v>B</v>
      </c>
      <c r="P54" s="91">
        <f>VLOOKUP(M54,Nucleo_Pins_Altium!$D$2:$Y$144, 13, FALSE)</f>
        <v>5</v>
      </c>
      <c r="R54" s="95">
        <v>14</v>
      </c>
      <c r="S54" s="98" t="str">
        <f>VLOOKUP(R54,Nucleo_Pins_Altium!$D$2:$Y$144, 17+CN11Odd, FALSE)</f>
        <v>NOT AVAIL (ETH)</v>
      </c>
      <c r="T54" s="90" t="str">
        <f>VLOOKUP(R54,Nucleo_Pins_Altium!$D$2:$Y$144, 12, FALSE)</f>
        <v>A</v>
      </c>
      <c r="U54" s="91">
        <f>VLOOKUP(R54,Nucleo_Pins_Altium!$D$2:$Y$144, 13, FALSE)</f>
        <v>7</v>
      </c>
    </row>
    <row r="55" spans="2:21" x14ac:dyDescent="0.3">
      <c r="B55" s="95">
        <v>13</v>
      </c>
      <c r="C55" s="98" t="str">
        <f>VLOOKUP(B55,Nucleo_Pins_Altium!$E$2:$Y$144, 16+CN11Odd, FALSE)</f>
        <v>GND</v>
      </c>
      <c r="D55" s="90" t="str">
        <f>VLOOKUP(B55,Nucleo_Pins_Altium!$E$2:$Y$144, 11, FALSE)</f>
        <v>GND</v>
      </c>
      <c r="E55" s="91" t="str">
        <f>VLOOKUP(B55,Nucleo_Pins_Altium!$E$2:$Y$144, 12, FALSE)</f>
        <v>GND</v>
      </c>
      <c r="G55" s="95">
        <v>14</v>
      </c>
      <c r="H55" s="98" t="str">
        <f>VLOOKUP(G55,Nucleo_Pins_Altium!$E$2:$Y$144, 16+CN11Odd, FALSE)</f>
        <v>INA_M1</v>
      </c>
      <c r="I55" s="90" t="str">
        <f>VLOOKUP(G55,Nucleo_Pins_Altium!$E$2:$Y$144, 11, FALSE)</f>
        <v>G</v>
      </c>
      <c r="J55" s="91">
        <f>VLOOKUP(G55,Nucleo_Pins_Altium!$E$2:$Y$144, 12, FALSE)</f>
        <v>2</v>
      </c>
      <c r="M55" s="95">
        <v>15</v>
      </c>
      <c r="N55" s="98" t="str">
        <f>VLOOKUP(M55,Nucleo_Pins_Altium!$D$2:$Y$144, 17+CN11Odd, FALSE)</f>
        <v>SWO/T2_CH2_ENC4_B</v>
      </c>
      <c r="O55" s="90" t="str">
        <f>VLOOKUP(M55,Nucleo_Pins_Altium!$D$2:$Y$144, 12, FALSE)</f>
        <v>B</v>
      </c>
      <c r="P55" s="91">
        <f>VLOOKUP(M55,Nucleo_Pins_Altium!$D$2:$Y$144, 13, FALSE)</f>
        <v>3</v>
      </c>
      <c r="R55" s="95">
        <v>16</v>
      </c>
      <c r="S55" s="98" t="str">
        <f>VLOOKUP(R55,Nucleo_Pins_Altium!$D$2:$Y$144, 17+CN11Odd, FALSE)</f>
        <v>DIG_OUT4</v>
      </c>
      <c r="T55" s="90" t="str">
        <f>VLOOKUP(R55,Nucleo_Pins_Altium!$D$2:$Y$144, 12, FALSE)</f>
        <v>D</v>
      </c>
      <c r="U55" s="91">
        <f>VLOOKUP(R55,Nucleo_Pins_Altium!$D$2:$Y$144, 13, FALSE)</f>
        <v>14</v>
      </c>
    </row>
    <row r="56" spans="2:21" x14ac:dyDescent="0.3">
      <c r="B56" s="96">
        <v>15</v>
      </c>
      <c r="C56" s="99" t="str">
        <f>VLOOKUP(B56,Nucleo_Pins_Altium!$E$2:$Y$144, 16+CN11Odd, FALSE)</f>
        <v>VIN</v>
      </c>
      <c r="D56" s="92" t="str">
        <f>VLOOKUP(B56,Nucleo_Pins_Altium!$E$2:$Y$144, 11, FALSE)</f>
        <v>VIN</v>
      </c>
      <c r="E56" s="93" t="str">
        <f>VLOOKUP(B56,Nucleo_Pins_Altium!$E$2:$Y$144, 12, FALSE)</f>
        <v>VIN</v>
      </c>
      <c r="G56" s="96">
        <v>16</v>
      </c>
      <c r="H56" s="99" t="str">
        <f>VLOOKUP(G56,Nucleo_Pins_Altium!$E$2:$Y$144, 16+CN11Odd, FALSE)</f>
        <v>INB_M1</v>
      </c>
      <c r="I56" s="92" t="str">
        <f>VLOOKUP(G56,Nucleo_Pins_Altium!$E$2:$Y$144, 11, FALSE)</f>
        <v>G</v>
      </c>
      <c r="J56" s="93">
        <f>VLOOKUP(G56,Nucleo_Pins_Altium!$E$2:$Y$144, 12, FALSE)</f>
        <v>3</v>
      </c>
      <c r="M56" s="95">
        <v>17</v>
      </c>
      <c r="N56" s="98" t="str">
        <f>VLOOKUP(M56,Nucleo_Pins_Altium!$D$2:$Y$144, 17+CN11Odd, FALSE)</f>
        <v>PA4_GPIOOUT_EN HES_Regulator Shdn_CS (Default Out=0)</v>
      </c>
      <c r="O56" s="90" t="str">
        <f>VLOOKUP(M56,Nucleo_Pins_Altium!$D$2:$Y$144, 12, FALSE)</f>
        <v>A</v>
      </c>
      <c r="P56" s="91">
        <f>VLOOKUP(M56,Nucleo_Pins_Altium!$D$2:$Y$144, 13, FALSE)</f>
        <v>4</v>
      </c>
      <c r="R56" s="95">
        <v>18</v>
      </c>
      <c r="S56" s="98" t="str">
        <f>VLOOKUP(R56,Nucleo_Pins_Altium!$D$2:$Y$144, 17+CN11Odd, FALSE)</f>
        <v>DIG_OUT5</v>
      </c>
      <c r="T56" s="90" t="str">
        <f>VLOOKUP(R56,Nucleo_Pins_Altium!$D$2:$Y$144, 12, FALSE)</f>
        <v>D</v>
      </c>
      <c r="U56" s="91">
        <f>VLOOKUP(R56,Nucleo_Pins_Altium!$D$2:$Y$144, 13, FALSE)</f>
        <v>15</v>
      </c>
    </row>
    <row r="57" spans="2:21" x14ac:dyDescent="0.3">
      <c r="M57" s="96">
        <v>19</v>
      </c>
      <c r="N57" s="99" t="str">
        <f>VLOOKUP(M57,Nucleo_Pins_Altium!$D$2:$Y$144, 17+CN11Odd, FALSE)</f>
        <v>T3_CH1_ENC1A</v>
      </c>
      <c r="O57" s="92" t="str">
        <f>VLOOKUP(M57,Nucleo_Pins_Altium!$D$2:$Y$144, 12, FALSE)</f>
        <v>B</v>
      </c>
      <c r="P57" s="93">
        <f>VLOOKUP(M57,Nucleo_Pins_Altium!$D$2:$Y$144, 13, FALSE)</f>
        <v>4</v>
      </c>
      <c r="R57" s="96">
        <v>20</v>
      </c>
      <c r="S57" s="99" t="str">
        <f>VLOOKUP(R57,Nucleo_Pins_Altium!$D$2:$Y$144, 17+CN11Odd, FALSE)</f>
        <v>Not Connected</v>
      </c>
      <c r="T57" s="92" t="str">
        <f>VLOOKUP(R57,Nucleo_Pins_Altium!$D$2:$Y$144, 12, FALSE)</f>
        <v>F</v>
      </c>
      <c r="U57" s="93">
        <f>VLOOKUP(R57,Nucleo_Pins_Altium!$D$2:$Y$144, 13, FALSE)</f>
        <v>12</v>
      </c>
    </row>
    <row r="60" spans="2:21" ht="21" x14ac:dyDescent="0.4">
      <c r="P60" s="103" t="s">
        <v>306</v>
      </c>
    </row>
    <row r="61" spans="2:21" x14ac:dyDescent="0.3">
      <c r="M61" s="94" t="s">
        <v>756</v>
      </c>
      <c r="N61" s="104" t="s">
        <v>757</v>
      </c>
      <c r="O61" s="88" t="s">
        <v>8</v>
      </c>
      <c r="P61" s="89" t="s">
        <v>1</v>
      </c>
      <c r="R61" s="94" t="s">
        <v>756</v>
      </c>
      <c r="S61" s="104" t="s">
        <v>757</v>
      </c>
      <c r="T61" s="88" t="s">
        <v>8</v>
      </c>
      <c r="U61" s="89" t="s">
        <v>1</v>
      </c>
    </row>
    <row r="62" spans="2:21" ht="21" x14ac:dyDescent="0.4">
      <c r="E62" s="102" t="s">
        <v>71</v>
      </c>
      <c r="M62" s="95">
        <v>1</v>
      </c>
      <c r="N62" s="105">
        <f>VLOOKUP(M62,Nucleo_Pins_Altium!$G$2:$Y$144, 14+CN11Odd, FALSE)</f>
        <v>0</v>
      </c>
      <c r="O62" s="90" t="str">
        <f>VLOOKUP(M62,Nucleo_Pins_Altium!$G$2:$Y$144, 9, FALSE)</f>
        <v>AVDD</v>
      </c>
      <c r="P62" s="91" t="str">
        <f>VLOOKUP(M62,Nucleo_Pins_Altium!$G$2:$Y$144, 10, FALSE)</f>
        <v>AVDD</v>
      </c>
      <c r="R62" s="95">
        <v>2</v>
      </c>
      <c r="S62" s="105" t="str">
        <f>VLOOKUP(R62,Nucleo_Pins_Altium!$G$2:$Y$144, 14+CN11Odd, FALSE)</f>
        <v>ENA_M1</v>
      </c>
      <c r="T62" s="90" t="str">
        <f>VLOOKUP(R62,Nucleo_Pins_Altium!$G$2:$Y$144, 9, FALSE)</f>
        <v>F</v>
      </c>
      <c r="U62" s="91">
        <f>VLOOKUP(R62,Nucleo_Pins_Altium!$G$2:$Y$144, 10, FALSE)</f>
        <v>13</v>
      </c>
    </row>
    <row r="63" spans="2:21" x14ac:dyDescent="0.3">
      <c r="B63" s="94" t="s">
        <v>756</v>
      </c>
      <c r="C63" s="104" t="s">
        <v>757</v>
      </c>
      <c r="D63" s="88" t="s">
        <v>8</v>
      </c>
      <c r="E63" s="89" t="s">
        <v>1</v>
      </c>
      <c r="G63" s="94" t="s">
        <v>756</v>
      </c>
      <c r="H63" s="104" t="s">
        <v>757</v>
      </c>
      <c r="I63" s="100" t="s">
        <v>8</v>
      </c>
      <c r="J63" s="101" t="s">
        <v>1</v>
      </c>
      <c r="M63" s="95">
        <v>3</v>
      </c>
      <c r="N63" s="105" t="str">
        <f>VLOOKUP(M63,Nucleo_Pins_Altium!$G$2:$Y$144, 14+CN11Odd, FALSE)</f>
        <v>AGND</v>
      </c>
      <c r="O63" s="90" t="str">
        <f>VLOOKUP(M63,Nucleo_Pins_Altium!$G$2:$Y$144, 9, FALSE)</f>
        <v>AGND</v>
      </c>
      <c r="P63" s="91" t="str">
        <f>VLOOKUP(M63,Nucleo_Pins_Altium!$G$2:$Y$144, 10, FALSE)</f>
        <v>AGND</v>
      </c>
      <c r="R63" s="95">
        <v>4</v>
      </c>
      <c r="S63" s="105" t="str">
        <f>VLOOKUP(R63,Nucleo_Pins_Altium!$G$2:$Y$144, 14+CN11Odd, FALSE)</f>
        <v>PWM_M1</v>
      </c>
      <c r="T63" s="90" t="str">
        <f>VLOOKUP(R63,Nucleo_Pins_Altium!$G$2:$Y$144, 9, FALSE)</f>
        <v>E</v>
      </c>
      <c r="U63" s="91">
        <f>VLOOKUP(R63,Nucleo_Pins_Altium!$G$2:$Y$144, 10, FALSE)</f>
        <v>9</v>
      </c>
    </row>
    <row r="64" spans="2:21" x14ac:dyDescent="0.3">
      <c r="B64" s="95">
        <v>1</v>
      </c>
      <c r="C64" s="105" t="str">
        <f>VLOOKUP(B64,Nucleo_Pins_Altium!$F$2:$Y$144, 15+CN11Odd, FALSE)</f>
        <v>ADC3_IN0_PS_Monitor</v>
      </c>
      <c r="D64" s="90" t="str">
        <f>VLOOKUP(B64,Nucleo_Pins_Altium!$F$2:$Y$144, 10, FALSE)</f>
        <v>A</v>
      </c>
      <c r="E64" s="91">
        <v>3</v>
      </c>
      <c r="G64" s="95">
        <v>2</v>
      </c>
      <c r="H64" s="105" t="str">
        <f>VLOOKUP(G64,Nucleo_Pins_Altium!$F$2:$Y$144, 15+CN11Odd, FALSE)</f>
        <v>Not Connected</v>
      </c>
      <c r="I64" s="90" t="str">
        <f>VLOOKUP(G64,Nucleo_Pins_Altium!$F$2:$Y$144, 10, FALSE)</f>
        <v>D</v>
      </c>
      <c r="J64" s="91">
        <f>VLOOKUP(G64,Nucleo_Pins_Altium!$F$2:$Y$144, 11, FALSE)</f>
        <v>7</v>
      </c>
      <c r="M64" s="95">
        <v>5</v>
      </c>
      <c r="N64" s="105">
        <f>VLOOKUP(M64,Nucleo_Pins_Altium!$G$2:$Y$144, 14+CN11Odd, FALSE)</f>
        <v>0</v>
      </c>
      <c r="O64" s="90" t="str">
        <f>VLOOKUP(M64,Nucleo_Pins_Altium!$G$2:$Y$144, 9, FALSE)</f>
        <v>GND</v>
      </c>
      <c r="P64" s="91" t="str">
        <f>VLOOKUP(M64,Nucleo_Pins_Altium!$G$2:$Y$144, 10, FALSE)</f>
        <v>GND</v>
      </c>
      <c r="R64" s="95">
        <v>6</v>
      </c>
      <c r="S64" s="105" t="str">
        <f>VLOOKUP(R64,Nucleo_Pins_Altium!$G$2:$Y$144, 14+CN11Odd, FALSE)</f>
        <v>PWM_M2</v>
      </c>
      <c r="T64" s="90" t="str">
        <f>VLOOKUP(R64,Nucleo_Pins_Altium!$G$2:$Y$144, 9, FALSE)</f>
        <v>E</v>
      </c>
      <c r="U64" s="91">
        <f>VLOOKUP(R64,Nucleo_Pins_Altium!$G$2:$Y$144, 10, FALSE)</f>
        <v>11</v>
      </c>
    </row>
    <row r="65" spans="2:21" x14ac:dyDescent="0.3">
      <c r="B65" s="95">
        <v>3</v>
      </c>
      <c r="C65" s="105" t="str">
        <f>VLOOKUP(B65,Nucleo_Pins_Altium!$F$2:$Y$144, 15+CN11Odd, FALSE)</f>
        <v>NOT AVAIL (ETH)</v>
      </c>
      <c r="D65" s="90" t="s">
        <v>312</v>
      </c>
      <c r="E65" s="91">
        <v>0</v>
      </c>
      <c r="G65" s="95">
        <v>4</v>
      </c>
      <c r="H65" s="105" t="str">
        <f>VLOOKUP(G65,Nucleo_Pins_Altium!$F$2:$Y$144, 15+CN11Odd, FALSE)</f>
        <v>RX2_AUX</v>
      </c>
      <c r="I65" s="90" t="str">
        <f>VLOOKUP(G65,Nucleo_Pins_Altium!$F$2:$Y$144, 10, FALSE)</f>
        <v>D</v>
      </c>
      <c r="J65" s="91">
        <f>VLOOKUP(G65,Nucleo_Pins_Altium!$F$2:$Y$144, 11, FALSE)</f>
        <v>6</v>
      </c>
      <c r="M65" s="95">
        <v>7</v>
      </c>
      <c r="N65" s="105" t="str">
        <f>VLOOKUP(M65,Nucleo_Pins_Altium!$G$2:$Y$144, 14+CN11Odd, FALSE)</f>
        <v>Not Connected (ADC_AUX)</v>
      </c>
      <c r="O65" s="90" t="str">
        <f>VLOOKUP(M65,Nucleo_Pins_Altium!$G$2:$Y$144, 9, FALSE)</f>
        <v>B</v>
      </c>
      <c r="P65" s="91">
        <f>VLOOKUP(M65,Nucleo_Pins_Altium!$G$2:$Y$144, 10, FALSE)</f>
        <v>1</v>
      </c>
      <c r="R65" s="95">
        <v>8</v>
      </c>
      <c r="S65" s="105" t="str">
        <f>VLOOKUP(R65,Nucleo_Pins_Altium!$G$2:$Y$144, 14+CN11Odd, FALSE)</f>
        <v>ENA_M2</v>
      </c>
      <c r="T65" s="90" t="str">
        <f>VLOOKUP(R65,Nucleo_Pins_Altium!$G$2:$Y$144, 9, FALSE)</f>
        <v>F</v>
      </c>
      <c r="U65" s="91">
        <f>VLOOKUP(R65,Nucleo_Pins_Altium!$G$2:$Y$144, 10, FALSE)</f>
        <v>14</v>
      </c>
    </row>
    <row r="66" spans="2:21" x14ac:dyDescent="0.3">
      <c r="B66" s="95">
        <v>5</v>
      </c>
      <c r="C66" s="105" t="str">
        <f>VLOOKUP(B66,Nucleo_Pins_Altium!$F$2:$Y$144, 15+CN11Odd, FALSE)</f>
        <v>NOT AVAIL (ETH)</v>
      </c>
      <c r="D66" s="90" t="s">
        <v>312</v>
      </c>
      <c r="E66" s="91">
        <v>3</v>
      </c>
      <c r="G66" s="95">
        <v>6</v>
      </c>
      <c r="H66" s="105" t="str">
        <f>VLOOKUP(G66,Nucleo_Pins_Altium!$F$2:$Y$144, 15+CN11Odd, FALSE)</f>
        <v>TX2_AUX</v>
      </c>
      <c r="I66" s="90" t="str">
        <f>VLOOKUP(G66,Nucleo_Pins_Altium!$F$2:$Y$144, 10, FALSE)</f>
        <v>D</v>
      </c>
      <c r="J66" s="91">
        <f>VLOOKUP(G66,Nucleo_Pins_Altium!$F$2:$Y$144, 11, FALSE)</f>
        <v>5</v>
      </c>
      <c r="M66" s="95">
        <v>9</v>
      </c>
      <c r="N66" s="105" t="str">
        <f>VLOOKUP(M66,Nucleo_Pins_Altium!$G$2:$Y$144, 14+CN11Odd, FALSE)</f>
        <v>ADC3_CS_M2 (VNH 5019)</v>
      </c>
      <c r="O66" s="90" t="str">
        <f>VLOOKUP(M66,Nucleo_Pins_Altium!$G$2:$Y$144, 9, FALSE)</f>
        <v>C</v>
      </c>
      <c r="P66" s="91">
        <f>VLOOKUP(M66,Nucleo_Pins_Altium!$G$2:$Y$144, 10, FALSE)</f>
        <v>2</v>
      </c>
      <c r="R66" s="95">
        <v>10</v>
      </c>
      <c r="S66" s="105" t="str">
        <f>VLOOKUP(R66,Nucleo_Pins_Altium!$G$2:$Y$144, 14+CN11Odd, FALSE)</f>
        <v>PWM_M3</v>
      </c>
      <c r="T66" s="90" t="str">
        <f>VLOOKUP(R66,Nucleo_Pins_Altium!$G$2:$Y$144, 9, FALSE)</f>
        <v>E</v>
      </c>
      <c r="U66" s="91">
        <f>VLOOKUP(R66,Nucleo_Pins_Altium!$G$2:$Y$144, 10, FALSE)</f>
        <v>13</v>
      </c>
    </row>
    <row r="67" spans="2:21" x14ac:dyDescent="0.3">
      <c r="B67" s="95">
        <v>7</v>
      </c>
      <c r="C67" s="105" t="str">
        <f>VLOOKUP(B67,Nucleo_Pins_Altium!$F$2:$Y$144, 15+CN11Odd, FALSE)</f>
        <v>ADC3_CS_M1 (VNH5019)</v>
      </c>
      <c r="D67" s="90" t="s">
        <v>315</v>
      </c>
      <c r="E67" s="91">
        <f>VLOOKUP(B67,Nucleo_Pins_Altium!$F$2:$Y$144, 11, FALSE)</f>
        <v>3</v>
      </c>
      <c r="G67" s="95">
        <v>8</v>
      </c>
      <c r="H67" s="105" t="str">
        <f>VLOOKUP(G67,Nucleo_Pins_Altium!$F$2:$Y$144, 15+CN11Odd, FALSE)</f>
        <v>MCU/SD_WP</v>
      </c>
      <c r="I67" s="90" t="str">
        <f>VLOOKUP(G67,Nucleo_Pins_Altium!$F$2:$Y$144, 10, FALSE)</f>
        <v>D</v>
      </c>
      <c r="J67" s="91">
        <f>VLOOKUP(G67,Nucleo_Pins_Altium!$F$2:$Y$144, 11, FALSE)</f>
        <v>4</v>
      </c>
      <c r="M67" s="95">
        <v>11</v>
      </c>
      <c r="N67" s="105" t="str">
        <f>VLOOKUP(M67,Nucleo_Pins_Altium!$G$2:$Y$144, 14+CN11Odd, FALSE)</f>
        <v>DIG_IN5</v>
      </c>
      <c r="O67" s="90" t="str">
        <f>VLOOKUP(M67,Nucleo_Pins_Altium!$G$2:$Y$144, 9, FALSE)</f>
        <v>F</v>
      </c>
      <c r="P67" s="91">
        <f>VLOOKUP(M67,Nucleo_Pins_Altium!$G$2:$Y$144, 10, FALSE)</f>
        <v>4</v>
      </c>
      <c r="R67" s="95">
        <v>12</v>
      </c>
      <c r="S67" s="105" t="str">
        <f>VLOOKUP(R67,Nucleo_Pins_Altium!$G$2:$Y$144, 14+CN11Odd, FALSE)</f>
        <v>ENA_M3</v>
      </c>
      <c r="T67" s="90" t="str">
        <f>VLOOKUP(R67,Nucleo_Pins_Altium!$G$2:$Y$144, 9, FALSE)</f>
        <v>F</v>
      </c>
      <c r="U67" s="91">
        <f>VLOOKUP(R67,Nucleo_Pins_Altium!$G$2:$Y$144, 10, FALSE)</f>
        <v>15</v>
      </c>
    </row>
    <row r="68" spans="2:21" x14ac:dyDescent="0.3">
      <c r="B68" s="95">
        <v>9</v>
      </c>
      <c r="C68" s="105" t="str">
        <f>VLOOKUP(B68,Nucleo_Pins_Altium!$F$2:$Y$144, 15+CN11Odd, FALSE)</f>
        <v>PA4_GPIOOUT_EN HES_Regulator Shdn_CS (Default Out=0)</v>
      </c>
      <c r="D68" s="90" t="s">
        <v>315</v>
      </c>
      <c r="E68" s="91">
        <v>5</v>
      </c>
      <c r="G68" s="95">
        <v>10</v>
      </c>
      <c r="H68" s="105" t="str">
        <f>VLOOKUP(G68,Nucleo_Pins_Altium!$F$2:$Y$144, 15+CN11Odd, FALSE)</f>
        <v>MCU/SD_CD</v>
      </c>
      <c r="I68" s="90" t="str">
        <f>VLOOKUP(G68,Nucleo_Pins_Altium!$F$2:$Y$144, 10, FALSE)</f>
        <v>D</v>
      </c>
      <c r="J68" s="91">
        <f>VLOOKUP(G68,Nucleo_Pins_Altium!$F$2:$Y$144, 11, FALSE)</f>
        <v>3</v>
      </c>
      <c r="M68" s="95">
        <v>13</v>
      </c>
      <c r="N68" s="105" t="str">
        <f>VLOOKUP(M68,Nucleo_Pins_Altium!$G$2:$Y$144, 14+CN11Odd, FALSE)</f>
        <v>T4_CH1_ENC2A</v>
      </c>
      <c r="O68" s="90" t="str">
        <f>VLOOKUP(M68,Nucleo_Pins_Altium!$G$2:$Y$144, 9, FALSE)</f>
        <v>B</v>
      </c>
      <c r="P68" s="91">
        <f>VLOOKUP(M68,Nucleo_Pins_Altium!$G$2:$Y$144, 10, FALSE)</f>
        <v>6</v>
      </c>
      <c r="R68" s="95">
        <v>14</v>
      </c>
      <c r="S68" s="105" t="str">
        <f>VLOOKUP(R68,Nucleo_Pins_Altium!$G$2:$Y$144, 14+CN11Odd, FALSE)</f>
        <v>TX6_SERIAL</v>
      </c>
      <c r="T68" s="90" t="str">
        <f>VLOOKUP(R68,Nucleo_Pins_Altium!$G$2:$Y$144, 9, FALSE)</f>
        <v>G</v>
      </c>
      <c r="U68" s="91">
        <f>VLOOKUP(R68,Nucleo_Pins_Altium!$G$2:$Y$144, 10, FALSE)</f>
        <v>14</v>
      </c>
    </row>
    <row r="69" spans="2:21" x14ac:dyDescent="0.3">
      <c r="B69" s="95">
        <v>11</v>
      </c>
      <c r="C69" s="105" t="str">
        <f>VLOOKUP(B69,Nucleo_Pins_Altium!$F$2:$Y$144, 15+CN11Odd, FALSE)</f>
        <v>ADC1_CS_HES_MT3 (HES Sensor)</v>
      </c>
      <c r="D69" s="90" t="s">
        <v>315</v>
      </c>
      <c r="E69" s="91">
        <v>10</v>
      </c>
      <c r="G69" s="95">
        <v>12</v>
      </c>
      <c r="H69" s="105" t="e">
        <f>VLOOKUP(G69,Nucleo_Pins_Altium!$F$2:$Y$144, 15+CN11Odd, FALSE)</f>
        <v>#N/A</v>
      </c>
      <c r="I69" s="90" t="e">
        <f>VLOOKUP(G69,Nucleo_Pins_Altium!$F$2:$Y$144, 10, FALSE)</f>
        <v>#N/A</v>
      </c>
      <c r="J69" s="91" t="e">
        <f>VLOOKUP(G69,Nucleo_Pins_Altium!$F$2:$Y$144, 11, FALSE)</f>
        <v>#N/A</v>
      </c>
      <c r="M69" s="95">
        <v>15</v>
      </c>
      <c r="N69" s="105" t="str">
        <f>VLOOKUP(M69,Nucleo_Pins_Altium!$G$2:$Y$144, 14+CN11Odd, FALSE)</f>
        <v>BOOT1 Pull Down</v>
      </c>
      <c r="O69" s="90" t="str">
        <f>VLOOKUP(M69,Nucleo_Pins_Altium!$G$2:$Y$144, 9, FALSE)</f>
        <v>B</v>
      </c>
      <c r="P69" s="91">
        <f>VLOOKUP(M69,Nucleo_Pins_Altium!$G$2:$Y$144, 10, FALSE)</f>
        <v>2</v>
      </c>
      <c r="R69" s="95">
        <v>16</v>
      </c>
      <c r="S69" s="105" t="str">
        <f>VLOOKUP(R69,Nucleo_Pins_Altium!$G$2:$Y$144, 14+CN11Odd, FALSE)</f>
        <v>RX6_SERIAL</v>
      </c>
      <c r="T69" s="90" t="str">
        <f>VLOOKUP(R69,Nucleo_Pins_Altium!$G$2:$Y$144, 9, FALSE)</f>
        <v>G</v>
      </c>
      <c r="U69" s="91">
        <f>VLOOKUP(R69,Nucleo_Pins_Altium!$G$2:$Y$144, 10, FALSE)</f>
        <v>9</v>
      </c>
    </row>
    <row r="70" spans="2:21" x14ac:dyDescent="0.3">
      <c r="B70" s="95">
        <v>13</v>
      </c>
      <c r="C70" s="105">
        <f>VLOOKUP(B70,Nucleo_Pins_Altium!$F$2:$Y$144, 15+CN11Odd, FALSE)</f>
        <v>0</v>
      </c>
      <c r="D70" s="90" t="str">
        <f>VLOOKUP(B70,Nucleo_Pins_Altium!$F$2:$Y$144, 10, FALSE)</f>
        <v>NotConn</v>
      </c>
      <c r="E70" s="91">
        <f>VLOOKUP(B70,Nucleo_Pins_Altium!$F$2:$Y$144, 11, FALSE)</f>
        <v>0</v>
      </c>
      <c r="G70" s="95">
        <v>14</v>
      </c>
      <c r="H70" s="105" t="str">
        <f>VLOOKUP(G70,Nucleo_Pins_Altium!$F$2:$Y$144, 15+CN11Odd, FALSE)</f>
        <v>INDEX_ENC3</v>
      </c>
      <c r="I70" s="90" t="str">
        <f>VLOOKUP(G70,Nucleo_Pins_Altium!$F$2:$Y$144, 10, FALSE)</f>
        <v>E</v>
      </c>
      <c r="J70" s="91">
        <f>VLOOKUP(G70,Nucleo_Pins_Altium!$F$2:$Y$144, 11, FALSE)</f>
        <v>2</v>
      </c>
      <c r="M70" s="95">
        <v>17</v>
      </c>
      <c r="N70" s="105" t="str">
        <f>VLOOKUP(M70,Nucleo_Pins_Altium!$G$2:$Y$144, 14+CN11Odd, FALSE)</f>
        <v>GND</v>
      </c>
      <c r="O70" s="90" t="str">
        <f>VLOOKUP(M70,Nucleo_Pins_Altium!$G$2:$Y$144, 9, FALSE)</f>
        <v>GND</v>
      </c>
      <c r="P70" s="91" t="str">
        <f>VLOOKUP(M70,Nucleo_Pins_Altium!$G$2:$Y$144, 10, FALSE)</f>
        <v>GND</v>
      </c>
      <c r="R70" s="95">
        <v>18</v>
      </c>
      <c r="S70" s="105" t="str">
        <f>VLOOKUP(R70,Nucleo_Pins_Altium!$G$2:$Y$144, 14+CN11Odd, FALSE)</f>
        <v>A_PWM1N/OUT</v>
      </c>
      <c r="T70" s="90" t="str">
        <f>VLOOKUP(R70,Nucleo_Pins_Altium!$G$2:$Y$144, 9, FALSE)</f>
        <v>E</v>
      </c>
      <c r="U70" s="91">
        <f>VLOOKUP(R70,Nucleo_Pins_Altium!$G$2:$Y$144, 10, FALSE)</f>
        <v>8</v>
      </c>
    </row>
    <row r="71" spans="2:21" x14ac:dyDescent="0.3">
      <c r="B71" s="95">
        <v>15</v>
      </c>
      <c r="C71" s="105" t="str">
        <f>VLOOKUP(B71,Nucleo_Pins_Altium!$F$2:$Y$144, 15+CN11Odd, FALSE)</f>
        <v>NOT AVAIL (ETH)</v>
      </c>
      <c r="D71" s="90" t="str">
        <f>VLOOKUP(B71,Nucleo_Pins_Altium!$F$2:$Y$144, 10, FALSE)</f>
        <v>A</v>
      </c>
      <c r="E71" s="91">
        <f>VLOOKUP(B71,Nucleo_Pins_Altium!$F$2:$Y$144, 11, FALSE)</f>
        <v>7</v>
      </c>
      <c r="G71" s="95">
        <v>16</v>
      </c>
      <c r="H71" s="105" t="str">
        <f>VLOOKUP(G71,Nucleo_Pins_Altium!$F$2:$Y$144, 15+CN11Odd, FALSE)</f>
        <v>Not Connected</v>
      </c>
      <c r="I71" s="90" t="str">
        <f>VLOOKUP(G71,Nucleo_Pins_Altium!$F$2:$Y$144, 10, FALSE)</f>
        <v>E</v>
      </c>
      <c r="J71" s="91">
        <f>VLOOKUP(G71,Nucleo_Pins_Altium!$F$2:$Y$144, 11, FALSE)</f>
        <v>4</v>
      </c>
      <c r="M71" s="95">
        <v>19</v>
      </c>
      <c r="N71" s="105" t="str">
        <f>VLOOKUP(M71,Nucleo_Pins_Altium!$G$2:$Y$144, 14+CN11Odd, FALSE)</f>
        <v>DIG_OUT0</v>
      </c>
      <c r="O71" s="90" t="str">
        <f>VLOOKUP(M71,Nucleo_Pins_Altium!$G$2:$Y$144, 9, FALSE)</f>
        <v>D</v>
      </c>
      <c r="P71" s="91">
        <f>VLOOKUP(M71,Nucleo_Pins_Altium!$G$2:$Y$144, 10, FALSE)</f>
        <v>13</v>
      </c>
      <c r="R71" s="95">
        <v>20</v>
      </c>
      <c r="S71" s="105" t="str">
        <f>VLOOKUP(R71,Nucleo_Pins_Altium!$G$2:$Y$144, 14+CN11Odd, FALSE)</f>
        <v>DIG_OUT3</v>
      </c>
      <c r="T71" s="90" t="str">
        <f>VLOOKUP(R71,Nucleo_Pins_Altium!$G$2:$Y$144, 9, FALSE)</f>
        <v>E</v>
      </c>
      <c r="U71" s="91">
        <f>VLOOKUP(R71,Nucleo_Pins_Altium!$G$2:$Y$144, 10, FALSE)</f>
        <v>7</v>
      </c>
    </row>
    <row r="72" spans="2:21" x14ac:dyDescent="0.3">
      <c r="B72" s="95">
        <v>17</v>
      </c>
      <c r="C72" s="105" t="str">
        <f>VLOOKUP(B72,Nucleo_Pins_Altium!$F$2:$Y$144, 15+CN11Odd, FALSE)</f>
        <v>Not Connected</v>
      </c>
      <c r="D72" s="90" t="str">
        <f>VLOOKUP(B72,Nucleo_Pins_Altium!$F$2:$Y$144, 10, FALSE)</f>
        <v>F</v>
      </c>
      <c r="E72" s="91">
        <f>VLOOKUP(B72,Nucleo_Pins_Altium!$F$2:$Y$144, 11, FALSE)</f>
        <v>2</v>
      </c>
      <c r="G72" s="95">
        <v>18</v>
      </c>
      <c r="H72" s="105" t="str">
        <f>VLOOKUP(G72,Nucleo_Pins_Altium!$F$2:$Y$144, 15+CN11Odd, FALSE)</f>
        <v>Not Connected</v>
      </c>
      <c r="I72" s="90" t="str">
        <f>VLOOKUP(G72,Nucleo_Pins_Altium!$F$2:$Y$144, 10, FALSE)</f>
        <v>E</v>
      </c>
      <c r="J72" s="91">
        <f>VLOOKUP(G72,Nucleo_Pins_Altium!$F$2:$Y$144, 11, FALSE)</f>
        <v>5</v>
      </c>
      <c r="M72" s="95">
        <v>21</v>
      </c>
      <c r="N72" s="105" t="str">
        <f>VLOOKUP(M72,Nucleo_Pins_Altium!$G$2:$Y$144, 14+CN11Odd, FALSE)</f>
        <v>DIG_OUT1</v>
      </c>
      <c r="O72" s="90" t="str">
        <f>VLOOKUP(M72,Nucleo_Pins_Altium!$G$2:$Y$144, 9, FALSE)</f>
        <v>D</v>
      </c>
      <c r="P72" s="91">
        <f>VLOOKUP(M72,Nucleo_Pins_Altium!$G$2:$Y$144, 10, FALSE)</f>
        <v>12</v>
      </c>
      <c r="R72" s="95">
        <v>22</v>
      </c>
      <c r="S72" s="105">
        <f>VLOOKUP(R72,Nucleo_Pins_Altium!$G$2:$Y$144, 14+CN11Odd, FALSE)</f>
        <v>0</v>
      </c>
      <c r="T72" s="90" t="str">
        <f>VLOOKUP(R72,Nucleo_Pins_Altium!$G$2:$Y$144, 9, FALSE)</f>
        <v>GND</v>
      </c>
      <c r="U72" s="91" t="str">
        <f>VLOOKUP(R72,Nucleo_Pins_Altium!$G$2:$Y$144, 10, FALSE)</f>
        <v>GND</v>
      </c>
    </row>
    <row r="73" spans="2:21" x14ac:dyDescent="0.3">
      <c r="B73" s="95">
        <v>19</v>
      </c>
      <c r="C73" s="105" t="str">
        <f>VLOOKUP(B73,Nucleo_Pins_Altium!$F$2:$Y$144, 15+CN11Odd, FALSE)</f>
        <v>IMU_SCL</v>
      </c>
      <c r="D73" s="90" t="str">
        <f>VLOOKUP(B73,Nucleo_Pins_Altium!$F$2:$Y$144, 10, FALSE)</f>
        <v>F</v>
      </c>
      <c r="E73" s="91">
        <f>VLOOKUP(B73,Nucleo_Pins_Altium!$F$2:$Y$144, 11, FALSE)</f>
        <v>1</v>
      </c>
      <c r="G73" s="95">
        <v>20</v>
      </c>
      <c r="H73" s="105" t="str">
        <f>VLOOKUP(G73,Nucleo_Pins_Altium!$F$2:$Y$144, 15+CN11Odd, FALSE)</f>
        <v>Not Connected</v>
      </c>
      <c r="I73" s="90" t="str">
        <f>VLOOKUP(G73,Nucleo_Pins_Altium!$F$2:$Y$144, 10, FALSE)</f>
        <v>E</v>
      </c>
      <c r="J73" s="91">
        <f>VLOOKUP(G73,Nucleo_Pins_Altium!$F$2:$Y$144, 11, FALSE)</f>
        <v>6</v>
      </c>
      <c r="M73" s="95">
        <v>23</v>
      </c>
      <c r="N73" s="105" t="str">
        <f>VLOOKUP(M73,Nucleo_Pins_Altium!$G$2:$Y$144, 14+CN11Odd, FALSE)</f>
        <v>DIG_OUT2</v>
      </c>
      <c r="O73" s="90" t="str">
        <f>VLOOKUP(M73,Nucleo_Pins_Altium!$G$2:$Y$144, 9, FALSE)</f>
        <v>D</v>
      </c>
      <c r="P73" s="91">
        <f>VLOOKUP(M73,Nucleo_Pins_Altium!$G$2:$Y$144, 10, FALSE)</f>
        <v>11</v>
      </c>
      <c r="R73" s="95">
        <v>24</v>
      </c>
      <c r="S73" s="105" t="str">
        <f>VLOOKUP(R73,Nucleo_Pins_Altium!$G$2:$Y$144, 14+CN11Odd, FALSE)</f>
        <v>A_PWM2N/OUT</v>
      </c>
      <c r="T73" s="90" t="str">
        <f>VLOOKUP(R73,Nucleo_Pins_Altium!$G$2:$Y$144, 9, FALSE)</f>
        <v>E</v>
      </c>
      <c r="U73" s="91">
        <f>VLOOKUP(R73,Nucleo_Pins_Altium!$G$2:$Y$144, 10, FALSE)</f>
        <v>10</v>
      </c>
    </row>
    <row r="74" spans="2:21" x14ac:dyDescent="0.3">
      <c r="B74" s="95">
        <v>21</v>
      </c>
      <c r="C74" s="105" t="str">
        <f>VLOOKUP(B74,Nucleo_Pins_Altium!$F$2:$Y$144, 15+CN11Odd, FALSE)</f>
        <v>IMU_SDA</v>
      </c>
      <c r="D74" s="90" t="str">
        <f>VLOOKUP(B74,Nucleo_Pins_Altium!$F$2:$Y$144, 10, FALSE)</f>
        <v>F</v>
      </c>
      <c r="E74" s="91">
        <f>VLOOKUP(B74,Nucleo_Pins_Altium!$F$2:$Y$144, 11, FALSE)</f>
        <v>0</v>
      </c>
      <c r="G74" s="95">
        <v>22</v>
      </c>
      <c r="H74" s="105" t="str">
        <f>VLOOKUP(G74,Nucleo_Pins_Altium!$F$2:$Y$144, 15+CN11Odd, FALSE)</f>
        <v>Not Connected</v>
      </c>
      <c r="I74" s="90" t="str">
        <f>VLOOKUP(G74,Nucleo_Pins_Altium!$F$2:$Y$144, 10, FALSE)</f>
        <v>E</v>
      </c>
      <c r="J74" s="91">
        <f>VLOOKUP(G74,Nucleo_Pins_Altium!$F$2:$Y$144, 11, FALSE)</f>
        <v>3</v>
      </c>
      <c r="M74" s="95">
        <v>25</v>
      </c>
      <c r="N74" s="105" t="str">
        <f>VLOOKUP(M74,Nucleo_Pins_Altium!$G$2:$Y$144, 14+CN11Odd, FALSE)</f>
        <v>INDEX_ENC3</v>
      </c>
      <c r="O74" s="90" t="str">
        <f>VLOOKUP(M74,Nucleo_Pins_Altium!$G$2:$Y$144, 9, FALSE)</f>
        <v>E</v>
      </c>
      <c r="P74" s="91">
        <f>VLOOKUP(M74,Nucleo_Pins_Altium!$G$2:$Y$144, 10, FALSE)</f>
        <v>2</v>
      </c>
      <c r="R74" s="95">
        <v>26</v>
      </c>
      <c r="S74" s="105" t="str">
        <f>VLOOKUP(R74,Nucleo_Pins_Altium!$G$2:$Y$144, 14+CN11Odd, FALSE)</f>
        <v>A_PWM3N/OUT</v>
      </c>
      <c r="T74" s="90" t="str">
        <f>VLOOKUP(R74,Nucleo_Pins_Altium!$G$2:$Y$144, 9, FALSE)</f>
        <v>E</v>
      </c>
      <c r="U74" s="91">
        <f>VLOOKUP(R74,Nucleo_Pins_Altium!$G$2:$Y$144, 10, FALSE)</f>
        <v>12</v>
      </c>
    </row>
    <row r="75" spans="2:21" x14ac:dyDescent="0.3">
      <c r="B75" s="95">
        <v>23</v>
      </c>
      <c r="C75" s="105" t="str">
        <f>VLOOKUP(B75,Nucleo_Pins_Altium!$F$2:$Y$144, 15+CN11Odd, FALSE)</f>
        <v>GND</v>
      </c>
      <c r="D75" s="90" t="str">
        <f>VLOOKUP(B75,Nucleo_Pins_Altium!$F$2:$Y$144, 10, FALSE)</f>
        <v>GND</v>
      </c>
      <c r="E75" s="91" t="str">
        <f>VLOOKUP(B75,Nucleo_Pins_Altium!$F$2:$Y$144, 11, FALSE)</f>
        <v>GND</v>
      </c>
      <c r="G75" s="95">
        <v>24</v>
      </c>
      <c r="H75" s="105" t="str">
        <f>VLOOKUP(G75,Nucleo_Pins_Altium!$F$2:$Y$144, 15+CN11Odd, FALSE)</f>
        <v>DIG_IN2</v>
      </c>
      <c r="I75" s="90" t="str">
        <f>VLOOKUP(G75,Nucleo_Pins_Altium!$F$2:$Y$144, 10, FALSE)</f>
        <v>F</v>
      </c>
      <c r="J75" s="91">
        <f>VLOOKUP(G75,Nucleo_Pins_Altium!$F$2:$Y$144, 11, FALSE)</f>
        <v>8</v>
      </c>
      <c r="M75" s="95">
        <v>27</v>
      </c>
      <c r="N75" s="105">
        <f>VLOOKUP(M75,Nucleo_Pins_Altium!$G$2:$Y$144, 14+CN11Odd, FALSE)</f>
        <v>0</v>
      </c>
      <c r="O75" s="90" t="str">
        <f>VLOOKUP(M75,Nucleo_Pins_Altium!$G$2:$Y$144, 9, FALSE)</f>
        <v>GND</v>
      </c>
      <c r="P75" s="91" t="str">
        <f>VLOOKUP(M75,Nucleo_Pins_Altium!$G$2:$Y$144, 10, FALSE)</f>
        <v>GND</v>
      </c>
      <c r="R75" s="95">
        <v>28</v>
      </c>
      <c r="S75" s="105" t="str">
        <f>VLOOKUP(R75,Nucleo_Pins_Altium!$G$2:$Y$144, 14+CN11Odd, FALSE)</f>
        <v>Not Connected</v>
      </c>
      <c r="T75" s="90" t="str">
        <f>VLOOKUP(R75,Nucleo_Pins_Altium!$G$2:$Y$144, 9, FALSE)</f>
        <v>E</v>
      </c>
      <c r="U75" s="91">
        <f>VLOOKUP(R75,Nucleo_Pins_Altium!$G$2:$Y$144, 10, FALSE)</f>
        <v>14</v>
      </c>
    </row>
    <row r="76" spans="2:21" x14ac:dyDescent="0.3">
      <c r="B76" s="95">
        <v>25</v>
      </c>
      <c r="C76" s="105" t="str">
        <f>VLOOKUP(B76,Nucleo_Pins_Altium!$F$2:$Y$144, 15+CN11Odd, FALSE)</f>
        <v>CAN1_RX</v>
      </c>
      <c r="D76" s="90" t="str">
        <f>VLOOKUP(B76,Nucleo_Pins_Altium!$F$2:$Y$144, 10, FALSE)</f>
        <v>D</v>
      </c>
      <c r="E76" s="91">
        <f>VLOOKUP(B76,Nucleo_Pins_Altium!$F$2:$Y$144, 11, FALSE)</f>
        <v>0</v>
      </c>
      <c r="G76" s="95">
        <v>26</v>
      </c>
      <c r="H76" s="105" t="str">
        <f>VLOOKUP(G76,Nucleo_Pins_Altium!$F$2:$Y$144, 15+CN11Odd, FALSE)</f>
        <v>DIG_IN1</v>
      </c>
      <c r="I76" s="90" t="str">
        <f>VLOOKUP(G76,Nucleo_Pins_Altium!$F$2:$Y$144, 10, FALSE)</f>
        <v>F</v>
      </c>
      <c r="J76" s="91">
        <f>VLOOKUP(G76,Nucleo_Pins_Altium!$F$2:$Y$144, 11, FALSE)</f>
        <v>7</v>
      </c>
      <c r="M76" s="95">
        <v>29</v>
      </c>
      <c r="N76" s="105" t="str">
        <f>VLOOKUP(M76,Nucleo_Pins_Altium!$G$2:$Y$144, 14+CN11Odd, FALSE)</f>
        <v>ADC3_IN0_PS_Monitor</v>
      </c>
      <c r="O76" s="90" t="str">
        <f>VLOOKUP(M76,Nucleo_Pins_Altium!$G$2:$Y$144, 9, FALSE)</f>
        <v>A</v>
      </c>
      <c r="P76" s="91">
        <f>VLOOKUP(M76,Nucleo_Pins_Altium!$G$2:$Y$144, 10, FALSE)</f>
        <v>0</v>
      </c>
      <c r="R76" s="95">
        <v>30</v>
      </c>
      <c r="S76" s="105" t="str">
        <f>VLOOKUP(R76,Nucleo_Pins_Altium!$G$2:$Y$144, 14+CN11Odd, FALSE)</f>
        <v>Not Connected</v>
      </c>
      <c r="T76" s="90" t="str">
        <f>VLOOKUP(R76,Nucleo_Pins_Altium!$G$2:$Y$144, 9, FALSE)</f>
        <v>E</v>
      </c>
      <c r="U76" s="91">
        <f>VLOOKUP(R76,Nucleo_Pins_Altium!$G$2:$Y$144, 10, FALSE)</f>
        <v>15</v>
      </c>
    </row>
    <row r="77" spans="2:21" x14ac:dyDescent="0.3">
      <c r="B77" s="95">
        <v>27</v>
      </c>
      <c r="C77" s="105" t="str">
        <f>VLOOKUP(B77,Nucleo_Pins_Altium!$F$2:$Y$144, 15+CN11Odd, FALSE)</f>
        <v>CAN1_TX</v>
      </c>
      <c r="D77" s="90" t="str">
        <f>VLOOKUP(B77,Nucleo_Pins_Altium!$F$2:$Y$144, 10, FALSE)</f>
        <v>D</v>
      </c>
      <c r="E77" s="91">
        <f>VLOOKUP(B77,Nucleo_Pins_Altium!$F$2:$Y$144, 11, FALSE)</f>
        <v>1</v>
      </c>
      <c r="G77" s="95">
        <v>28</v>
      </c>
      <c r="H77" s="105" t="str">
        <f>VLOOKUP(G77,Nucleo_Pins_Altium!$F$2:$Y$144, 15+CN11Odd, FALSE)</f>
        <v>DIG_IN3</v>
      </c>
      <c r="I77" s="90" t="str">
        <f>VLOOKUP(G77,Nucleo_Pins_Altium!$F$2:$Y$144, 10, FALSE)</f>
        <v>F</v>
      </c>
      <c r="J77" s="91">
        <f>VLOOKUP(G77,Nucleo_Pins_Altium!$F$2:$Y$144, 11, FALSE)</f>
        <v>9</v>
      </c>
      <c r="M77" s="95">
        <v>31</v>
      </c>
      <c r="N77" s="105" t="str">
        <f>VLOOKUP(M77,Nucleo_Pins_Altium!$G$2:$Y$144, 14+CN11Odd, FALSE)</f>
        <v xml:space="preserve"> Not Connected (ADC_AUX) (Nucleo LED-GREEN) </v>
      </c>
      <c r="O77" s="90" t="str">
        <f>VLOOKUP(M77,Nucleo_Pins_Altium!$G$2:$Y$144, 9, FALSE)</f>
        <v>B</v>
      </c>
      <c r="P77" s="91">
        <f>VLOOKUP(M77,Nucleo_Pins_Altium!$G$2:$Y$144, 10, FALSE)</f>
        <v>0</v>
      </c>
      <c r="R77" s="95">
        <v>32</v>
      </c>
      <c r="S77" s="105" t="str">
        <f>VLOOKUP(R77,Nucleo_Pins_Altium!$G$2:$Y$144, 14+CN11Odd, FALSE)</f>
        <v>Not Connected</v>
      </c>
      <c r="T77" s="90" t="str">
        <f>VLOOKUP(R77,Nucleo_Pins_Altium!$G$2:$Y$144, 9, FALSE)</f>
        <v>B</v>
      </c>
      <c r="U77" s="91">
        <f>VLOOKUP(R77,Nucleo_Pins_Altium!$G$2:$Y$144, 10, FALSE)</f>
        <v>10</v>
      </c>
    </row>
    <row r="78" spans="2:21" x14ac:dyDescent="0.3">
      <c r="B78" s="96">
        <v>29</v>
      </c>
      <c r="C78" s="106">
        <f>VLOOKUP(B78,Nucleo_Pins_Altium!$F$2:$Y$144, 15+CN11Odd, FALSE)</f>
        <v>0</v>
      </c>
      <c r="D78" s="92" t="str">
        <f>VLOOKUP(B78,Nucleo_Pins_Altium!$F$2:$Y$144, 10, FALSE)</f>
        <v>G</v>
      </c>
      <c r="E78" s="93">
        <f>VLOOKUP(B78,Nucleo_Pins_Altium!$F$2:$Y$144, 11, FALSE)</f>
        <v>0</v>
      </c>
      <c r="G78" s="96">
        <v>30</v>
      </c>
      <c r="H78" s="106" t="str">
        <f>VLOOKUP(G78,Nucleo_Pins_Altium!$F$2:$Y$144, 15+CN11Odd, FALSE)</f>
        <v>Not Connected</v>
      </c>
      <c r="I78" s="92" t="str">
        <f>VLOOKUP(G78,Nucleo_Pins_Altium!$F$2:$Y$144, 10, FALSE)</f>
        <v>G</v>
      </c>
      <c r="J78" s="93">
        <f>VLOOKUP(G78,Nucleo_Pins_Altium!$F$2:$Y$144, 11, FALSE)</f>
        <v>1</v>
      </c>
      <c r="M78" s="96">
        <v>33</v>
      </c>
      <c r="N78" s="106" t="str">
        <f>VLOOKUP(M78,Nucleo_Pins_Altium!$G$2:$Y$144, 14+CN11Odd, FALSE)</f>
        <v>RX8_HS_FTDI232H</v>
      </c>
      <c r="O78" s="92" t="str">
        <f>VLOOKUP(M78,Nucleo_Pins_Altium!$G$2:$Y$144, 9, FALSE)</f>
        <v>E</v>
      </c>
      <c r="P78" s="93">
        <f>VLOOKUP(M78,Nucleo_Pins_Altium!$G$2:$Y$144, 10, FALSE)</f>
        <v>0</v>
      </c>
      <c r="R78" s="96">
        <v>34</v>
      </c>
      <c r="S78" s="106" t="str">
        <f>VLOOKUP(R78,Nucleo_Pins_Altium!$G$2:$Y$144, 14+CN11Odd, FALSE)</f>
        <v>INDEX_ENC1</v>
      </c>
      <c r="T78" s="92" t="str">
        <f>VLOOKUP(R78,Nucleo_Pins_Altium!$G$2:$Y$144, 9, FALSE)</f>
        <v>B</v>
      </c>
      <c r="U78" s="93">
        <f>VLOOKUP(R78,Nucleo_Pins_Altium!$G$2:$Y$144, 10, FALSE)</f>
        <v>11</v>
      </c>
    </row>
  </sheetData>
  <phoneticPr fontId="13" type="noConversion"/>
  <pageMargins left="0.7" right="0.7" top="0.75" bottom="0.75" header="0.3" footer="0.3"/>
  <pageSetup paperSize="9" scale="44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Arduino-Comp</vt:lpstr>
      <vt:lpstr>MOTORE_PINS</vt:lpstr>
      <vt:lpstr>Nucleo_Pins_Altium</vt:lpstr>
      <vt:lpstr>GraPHICAL DISPLAY</vt:lpstr>
      <vt:lpstr>MOTORE_PINS!BOARD_CUBEv2</vt:lpstr>
      <vt:lpstr>CN11Odd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Jacinto Villegas</dc:creator>
  <cp:lastModifiedBy>John_Helsing</cp:lastModifiedBy>
  <cp:lastPrinted>2016-06-23T13:57:35Z</cp:lastPrinted>
  <dcterms:created xsi:type="dcterms:W3CDTF">2016-04-05T12:20:24Z</dcterms:created>
  <dcterms:modified xsi:type="dcterms:W3CDTF">2018-01-12T14:58:22Z</dcterms:modified>
</cp:coreProperties>
</file>